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eydenilson\Downloads\"/>
    </mc:Choice>
  </mc:AlternateContent>
  <xr:revisionPtr revIDLastSave="0" documentId="13_ncr:1_{05125CB3-C23F-494B-987D-006C93111E3F}" xr6:coauthVersionLast="47" xr6:coauthVersionMax="47" xr10:uidLastSave="{00000000-0000-0000-0000-000000000000}"/>
  <bookViews>
    <workbookView xWindow="-120" yWindow="-120" windowWidth="29040" windowHeight="15720" activeTab="4" xr2:uid="{28DD5B76-0634-4F87-BE60-8BFA7EF2E23B}"/>
  </bookViews>
  <sheets>
    <sheet name="A̳ssets" sheetId="1" r:id="rId1"/>
    <sheet name="DINAMICA" sheetId="5" r:id="rId2"/>
    <sheet name="B̳ases" sheetId="2" r:id="rId3"/>
    <sheet name="C̳álculos" sheetId="3" r:id="rId4"/>
    <sheet name="D̳ashboard" sheetId="4" r:id="rId5"/>
  </sheets>
  <externalReferences>
    <externalReference r:id="rId6"/>
  </externalReferences>
  <definedNames>
    <definedName name="SegmentaçãodeDados_Subscription_Type">#N/A</definedName>
  </definedNames>
  <calcPr calcId="191029"/>
  <pivotCaches>
    <pivotCache cacheId="9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7" i="3"/>
</calcChain>
</file>

<file path=xl/sharedStrings.xml><?xml version="1.0" encoding="utf-8"?>
<sst xmlns="http://schemas.openxmlformats.org/spreadsheetml/2006/main" count="1999" uniqueCount="317">
  <si>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</si>
  <si>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</si>
  <si>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</si>
  <si>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</si>
  <si>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</si>
  <si>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</si>
  <si>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</si>
  <si>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</si>
  <si>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</si>
  <si>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</si>
  <si>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</si>
  <si>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</si>
  <si>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</si>
  <si>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</si>
  <si>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</si>
  <si>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</si>
  <si>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</si>
  <si>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</si>
  <si>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</si>
  <si>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</si>
  <si>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</si>
  <si>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</si>
  <si>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</si>
  <si>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</si>
  <si>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</si>
  <si>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</si>
  <si>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</si>
  <si>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</si>
  <si>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</si>
  <si>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</si>
  <si>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</si>
  <si>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</si>
  <si>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</si>
  <si>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</si>
  <si>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</si>
  <si>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</si>
  <si>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</si>
  <si>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</si>
  <si>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</si>
  <si>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</si>
  <si>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</si>
  <si>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</si>
  <si>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</si>
  <si>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</si>
  <si>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</si>
  <si>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</si>
  <si>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</si>
  <si>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</si>
  <si>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</si>
  <si>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</si>
  <si>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</si>
  <si>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</si>
  <si>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</si>
  <si>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</si>
  <si>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</si>
  <si>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</si>
  <si>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</si>
  <si>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</si>
  <si>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</si>
  <si>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</si>
  <si>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</si>
  <si>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</si>
  <si>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</si>
  <si>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</si>
  <si>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</si>
  <si>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</si>
  <si>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</si>
  <si>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</si>
  <si>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</si>
  <si>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</si>
  <si>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</si>
  <si>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</si>
  <si>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</si>
  <si>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</si>
  <si>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</si>
  <si>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</si>
  <si>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</si>
  <si>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</si>
  <si>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</si>
  <si>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</si>
  <si>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</si>
  <si>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</si>
  <si>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</si>
  <si>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</si>
  <si>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</si>
  <si>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</si>
  <si>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</si>
  <si>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</si>
  <si>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</si>
  <si>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</si>
  <si>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</si>
  <si>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</si>
  <si>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</si>
  <si>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</si>
  <si>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</si>
  <si>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</si>
  <si>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</si>
  <si>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</si>
  <si>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</si>
  <si>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</si>
  <si>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</si>
  <si>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</si>
  <si>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</si>
  <si>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</si>
  <si>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</si>
  <si>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</si>
  <si>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</si>
  <si>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</si>
  <si>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</si>
  <si>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</si>
  <si>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</si>
  <si>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</si>
  <si>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</si>
  <si>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</si>
  <si>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</si>
  <si>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</si>
  <si>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</si>
  <si>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</si>
  <si>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</si>
  <si>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</si>
  <si>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</si>
  <si>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</si>
  <si>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</si>
  <si>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</si>
  <si>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</si>
  <si>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</si>
  <si>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</si>
  <si>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</si>
  <si>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</si>
  <si>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</si>
  <si>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</si>
  <si>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</si>
  <si>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</si>
  <si>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</si>
  <si>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</si>
  <si>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</si>
  <si>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</si>
  <si>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</si>
  <si>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</si>
  <si>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</si>
  <si>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</si>
  <si>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</si>
  <si>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</si>
  <si>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</si>
  <si>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</si>
  <si>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</si>
  <si>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</si>
  <si>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</si>
  <si>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</si>
  <si>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</si>
  <si>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</si>
  <si>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</si>
  <si>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</si>
  <si>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</si>
  <si>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</si>
  <si>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</si>
  <si>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</si>
  <si>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</si>
  <si>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</si>
  <si>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</si>
  <si>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</si>
  <si>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</si>
  <si>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</si>
  <si>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</si>
  <si>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</si>
  <si>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</si>
  <si>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</si>
  <si>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</si>
  <si>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</si>
  <si>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</si>
  <si>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</si>
  <si>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</si>
  <si>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</si>
  <si>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</si>
  <si>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</si>
  <si>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</si>
  <si>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</si>
  <si>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</si>
  <si>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</si>
  <si>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</si>
  <si>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</si>
  <si>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</si>
  <si>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</si>
  <si>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</si>
  <si>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</si>
  <si>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</si>
  <si>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</si>
  <si>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</si>
  <si>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</si>
  <si>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</si>
  <si>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</si>
  <si>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</si>
  <si>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</si>
  <si>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</si>
  <si>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</si>
  <si>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</si>
  <si>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</si>
  <si>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</si>
  <si>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</si>
  <si>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</si>
  <si>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</si>
  <si>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</si>
  <si>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</si>
  <si>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</si>
  <si>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</si>
  <si>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</si>
  <si>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</si>
  <si>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</si>
  <si>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</si>
  <si>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</si>
  <si>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</si>
  <si>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</si>
  <si>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</si>
  <si>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</si>
  <si>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</si>
  <si>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</si>
  <si>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</si>
  <si>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</si>
  <si>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</si>
  <si>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</si>
  <si>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</si>
  <si>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</si>
  <si>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</si>
  <si>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</si>
  <si>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</si>
  <si>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</si>
  <si>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</si>
  <si>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</si>
  <si>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</si>
  <si>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</si>
  <si>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</si>
  <si>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</si>
  <si>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</si>
  <si>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</si>
  <si>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</si>
  <si>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</si>
  <si>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</si>
  <si>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</si>
  <si>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</si>
  <si>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</si>
  <si>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</si>
  <si>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</si>
  <si>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</si>
  <si>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</si>
  <si>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</si>
  <si>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</si>
  <si>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</si>
  <si>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</si>
  <si>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</si>
  <si>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</si>
  <si>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</si>
  <si>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</si>
  <si>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</si>
  <si>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</si>
  <si>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</si>
  <si>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</si>
  <si>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</si>
  <si>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</si>
  <si>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</si>
  <si>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</si>
  <si>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</si>
  <si>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</si>
  <si>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</si>
  <si>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</si>
  <si>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</si>
  <si>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</si>
  <si>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</si>
  <si>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</si>
  <si>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</si>
  <si>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</si>
  <si>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</si>
  <si>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</si>
  <si>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</si>
  <si>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</si>
  <si>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</si>
  <si>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</si>
  <si>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</si>
  <si>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</si>
  <si>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</si>
  <si>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</si>
  <si>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</si>
  <si>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</si>
  <si>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</si>
  <si>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</si>
  <si>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</si>
  <si>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</si>
  <si>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</si>
  <si>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</si>
  <si>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</si>
  <si>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</si>
  <si>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</si>
  <si>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</si>
  <si>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</si>
  <si>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</si>
  <si>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</si>
  <si>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</si>
  <si>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</si>
  <si>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</si>
  <si>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</si>
  <si>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</si>
  <si>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</si>
  <si>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</si>
  <si>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</si>
  <si>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</si>
  <si>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</si>
  <si>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</si>
  <si>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</si>
  <si>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</si>
  <si>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</si>
  <si>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</si>
  <si>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</si>
  <si>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</si>
  <si>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</si>
  <si>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XBOX GAME PASS SUBSCRIPTIONS SALES</t>
  </si>
  <si>
    <t>Soma de Total Value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</si>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</sst>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9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4" fillId="0" borderId="2" xfId="0" applyFont="1" applyBorder="1"/>
    <xf numFmtId="0" fontId="4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9" borderId="0" xfId="0" applyFill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3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[805d54f9-6d53-4246-bed7-4aa2da615923.xlsx]DINAMICA!Tabela dinâmica1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400" b="1">
                <a:effectLst/>
              </a:rPr>
              <a:t>TOTAL SUBSCRIPTIONS XBOX</a:t>
            </a:r>
            <a:r>
              <a:rPr lang="pt-BR" sz="1400" b="1" baseline="0">
                <a:effectLst/>
              </a:rPr>
              <a:t> GAME PASS</a:t>
            </a:r>
            <a:endParaRPr lang="pt-BR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DINAMICA!$B$3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DINAMICA!$A$4:$A$6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DINAMICA!$B$4:$B$6</c:f>
              <c:numCache>
                <c:formatCode>#,##0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9-47AB-8B51-8D830436AC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14445424"/>
        <c:axId val="1514449584"/>
      </c:barChart>
      <c:catAx>
        <c:axId val="1514445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449584"/>
        <c:crosses val="autoZero"/>
        <c:auto val="1"/>
        <c:lblAlgn val="ctr"/>
        <c:lblOffset val="100"/>
        <c:noMultiLvlLbl val="0"/>
      </c:catAx>
      <c:valAx>
        <c:axId val="151444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44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sv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107156</xdr:colOff>
      <xdr:row>0</xdr:row>
      <xdr:rowOff>130969</xdr:rowOff>
    </xdr:from>
    <xdr:to>
      <xdr:col>2</xdr:col>
      <xdr:colOff>550377</xdr:colOff>
      <xdr:row>4</xdr:row>
      <xdr:rowOff>26192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D2522F-8F53-4922-84B8-55186C047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631156" y="130969"/>
          <a:ext cx="717065" cy="788192"/>
        </a:xfrm>
        <a:prstGeom prst="rect">
          <a:avLst/>
        </a:prstGeom>
      </xdr:spPr>
    </xdr:pic>
    <xdr:clientData/>
  </xdr:twoCellAnchor>
  <xdr:twoCellAnchor editAs="absolute">
    <xdr:from>
      <xdr:col>3</xdr:col>
      <xdr:colOff>71438</xdr:colOff>
      <xdr:row>2</xdr:row>
      <xdr:rowOff>83344</xdr:rowOff>
    </xdr:from>
    <xdr:to>
      <xdr:col>10</xdr:col>
      <xdr:colOff>398979</xdr:colOff>
      <xdr:row>4</xdr:row>
      <xdr:rowOff>116053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C690C4C-3C8B-4D88-95AD-5B07F03CA2E2}"/>
            </a:ext>
          </a:extLst>
        </xdr:cNvPr>
        <xdr:cNvSpPr/>
      </xdr:nvSpPr>
      <xdr:spPr>
        <a:xfrm>
          <a:off x="2559844" y="773907"/>
          <a:ext cx="5161479" cy="2351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absolute">
    <xdr:from>
      <xdr:col>2</xdr:col>
      <xdr:colOff>642937</xdr:colOff>
      <xdr:row>6</xdr:row>
      <xdr:rowOff>357187</xdr:rowOff>
    </xdr:from>
    <xdr:to>
      <xdr:col>10</xdr:col>
      <xdr:colOff>642937</xdr:colOff>
      <xdr:row>18</xdr:row>
      <xdr:rowOff>130968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24EE5EC-D9DD-4BF6-86B7-0513916323B6}"/>
            </a:ext>
          </a:extLst>
        </xdr:cNvPr>
        <xdr:cNvGrpSpPr/>
      </xdr:nvGrpSpPr>
      <xdr:grpSpPr>
        <a:xfrm>
          <a:off x="2440781" y="1500187"/>
          <a:ext cx="5524500" cy="2155031"/>
          <a:chOff x="2095500" y="1143000"/>
          <a:chExt cx="4655344" cy="164782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0263E40F-DE83-4F91-876C-B6777CE2F51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[1]C̳álculos!E25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F4C6446A-FBEA-4686-B7E8-41C3C977BE1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600" kern="1200">
              <a:solidFill>
                <a:srgbClr val="22C55E"/>
              </a:solidFill>
            </a:endParaRPr>
          </a:p>
          <a:p>
            <a:pPr algn="ctr"/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EB6C1C9A-16FE-45A9-9E33-7FD7A15BC0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6A78773C-4E52-4AAA-8F32-7FDDA6A288D6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0</xdr:col>
      <xdr:colOff>23812</xdr:colOff>
      <xdr:row>6</xdr:row>
      <xdr:rowOff>47625</xdr:rowOff>
    </xdr:from>
    <xdr:to>
      <xdr:col>1</xdr:col>
      <xdr:colOff>72526</xdr:colOff>
      <xdr:row>6</xdr:row>
      <xdr:rowOff>269405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BF7F49CC-349B-4577-BDD2-AE7F819E0880}"/>
            </a:ext>
          </a:extLst>
        </xdr:cNvPr>
        <xdr:cNvSpPr/>
      </xdr:nvSpPr>
      <xdr:spPr>
        <a:xfrm>
          <a:off x="23812" y="1190625"/>
          <a:ext cx="1572714" cy="221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Ezequiel</a:t>
          </a:r>
        </a:p>
      </xdr:txBody>
    </xdr:sp>
    <xdr:clientData/>
  </xdr:twoCellAnchor>
  <xdr:twoCellAnchor>
    <xdr:from>
      <xdr:col>0</xdr:col>
      <xdr:colOff>369093</xdr:colOff>
      <xdr:row>1</xdr:row>
      <xdr:rowOff>154782</xdr:rowOff>
    </xdr:from>
    <xdr:to>
      <xdr:col>0</xdr:col>
      <xdr:colOff>1140618</xdr:colOff>
      <xdr:row>4</xdr:row>
      <xdr:rowOff>109538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86BA551A-841E-4153-BA5C-BA9B98158CAA}"/>
            </a:ext>
          </a:extLst>
        </xdr:cNvPr>
        <xdr:cNvSpPr/>
      </xdr:nvSpPr>
      <xdr:spPr>
        <a:xfrm>
          <a:off x="369093" y="345282"/>
          <a:ext cx="771525" cy="65722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83344</xdr:colOff>
      <xdr:row>8</xdr:row>
      <xdr:rowOff>95252</xdr:rowOff>
    </xdr:from>
    <xdr:to>
      <xdr:col>0</xdr:col>
      <xdr:colOff>1452562</xdr:colOff>
      <xdr:row>15</xdr:row>
      <xdr:rowOff>83344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ubscription Type">
              <a:extLst>
                <a:ext uri="{FF2B5EF4-FFF2-40B4-BE49-F238E27FC236}">
                  <a16:creationId xmlns:a16="http://schemas.microsoft.com/office/drawing/2014/main" id="{B954C800-EBAD-4C6D-B635-FB3E83C45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4" y="1833565"/>
              <a:ext cx="1369218" cy="12382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404811</xdr:colOff>
      <xdr:row>21</xdr:row>
      <xdr:rowOff>11906</xdr:rowOff>
    </xdr:from>
    <xdr:to>
      <xdr:col>23</xdr:col>
      <xdr:colOff>345280</xdr:colOff>
      <xdr:row>43</xdr:row>
      <xdr:rowOff>59530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2586E3A-1D48-4936-9A3F-1D7073ECE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309562</xdr:colOff>
      <xdr:row>10</xdr:row>
      <xdr:rowOff>130969</xdr:rowOff>
    </xdr:from>
    <xdr:to>
      <xdr:col>10</xdr:col>
      <xdr:colOff>500062</xdr:colOff>
      <xdr:row>17</xdr:row>
      <xdr:rowOff>95250</xdr:rowOff>
    </xdr:to>
    <xdr:sp macro="" textlink="C̳álculos!D7">
      <xdr:nvSpPr>
        <xdr:cNvPr id="14" name="Retângulo: Cantos Arredondados 13">
          <a:extLst>
            <a:ext uri="{FF2B5EF4-FFF2-40B4-BE49-F238E27FC236}">
              <a16:creationId xmlns:a16="http://schemas.microsoft.com/office/drawing/2014/main" id="{9CF7EAA0-35BD-4098-A72B-E469E1ED96FD}"/>
            </a:ext>
          </a:extLst>
        </xdr:cNvPr>
        <xdr:cNvSpPr/>
      </xdr:nvSpPr>
      <xdr:spPr>
        <a:xfrm>
          <a:off x="4179093" y="2226469"/>
          <a:ext cx="3643313" cy="1214437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5751BF-705F-4718-A692-D63EE7ADB4B1}" type="TxLink">
            <a:rPr lang="en-US" sz="3600" b="1" i="0" u="none" strike="noStrike" kern="1200">
              <a:solidFill>
                <a:srgbClr val="22C55E"/>
              </a:solidFill>
              <a:latin typeface="Aptos Narrow"/>
            </a:rPr>
            <a:t> R$ 2.940,00 </a:t>
          </a:fld>
          <a:endParaRPr lang="pt-BR" sz="8800" b="1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13</xdr:col>
      <xdr:colOff>107157</xdr:colOff>
      <xdr:row>6</xdr:row>
      <xdr:rowOff>369094</xdr:rowOff>
    </xdr:from>
    <xdr:to>
      <xdr:col>21</xdr:col>
      <xdr:colOff>261937</xdr:colOff>
      <xdr:row>18</xdr:row>
      <xdr:rowOff>35718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1B1A5A5C-343B-4AB7-9921-7FF5CADCE264}"/>
            </a:ext>
          </a:extLst>
        </xdr:cNvPr>
        <xdr:cNvGrpSpPr/>
      </xdr:nvGrpSpPr>
      <xdr:grpSpPr>
        <a:xfrm>
          <a:off x="9310688" y="1512094"/>
          <a:ext cx="5679280" cy="2047874"/>
          <a:chOff x="7534275" y="1247775"/>
          <a:chExt cx="4655344" cy="1571625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875349D8-1D5C-48CE-BD96-DBAA1CBCA1BA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8BDEC649-162C-49CE-A481-5D85754339DC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D8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3F5EC94A-129A-4603-8B45-8AEAE095E319}"/>
                </a:ext>
              </a:extLst>
            </xdr:cNvPr>
            <xdr:cNvSpPr/>
          </xdr:nvSpPr>
          <xdr:spPr>
            <a:xfrm>
              <a:off x="3378221" y="1673187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06D14A1-D90C-45D1-A255-114BD3026574}" type="TxLink">
                <a:rPr lang="en-US" sz="3600" b="1" i="0" u="none" strike="noStrike" kern="1200">
                  <a:solidFill>
                    <a:srgbClr val="22C55E"/>
                  </a:solidFill>
                  <a:latin typeface="Aptos Narrow"/>
                </a:rPr>
                <a:t> R$ 3.880,00 </a:t>
              </a:fld>
              <a:endParaRPr lang="pt-BR" sz="8800" b="1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62A6166C-3D74-442A-9460-3B68B0BA7A10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916EE80-E6C0-4A61-8D7D-26A47F02179D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017F29E1-C564-41AD-ABC5-FA9FC7AFFC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59E6B3BD-6682-4141-8223-0975E42EBF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20950e-64c8-4092-a257-ba22ed198c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zequiel Moreira" refreshedDate="46161.996509375" createdVersion="7" refreshedVersion="7" minRefreshableVersion="3" recordCount="295" xr:uid="{3DA1E85F-6A7E-4F4D-8DDA-019B50F6C070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2647192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x v="0"/>
    <x v="0"/>
    <n v="15"/>
    <x v="0"/>
    <s v="Yes"/>
    <n v="30"/>
    <s v="Yes"/>
    <x v="0"/>
    <x v="0"/>
    <n v="60"/>
  </r>
  <r>
    <x v="1"/>
    <s v="Maria Oliveira"/>
    <x v="1"/>
    <x v="1"/>
    <x v="1"/>
    <n v="5"/>
    <x v="1"/>
    <s v="No"/>
    <s v="-"/>
    <s v="No"/>
    <x v="1"/>
    <x v="1"/>
    <n v="5"/>
  </r>
  <r>
    <x v="2"/>
    <s v="Lucas Fernandes"/>
    <x v="2"/>
    <x v="2"/>
    <x v="0"/>
    <n v="10"/>
    <x v="2"/>
    <s v="No"/>
    <s v="-"/>
    <s v="Yes"/>
    <x v="0"/>
    <x v="2"/>
    <n v="20"/>
  </r>
  <r>
    <x v="3"/>
    <s v="Ana Souza"/>
    <x v="0"/>
    <x v="3"/>
    <x v="1"/>
    <n v="15"/>
    <x v="0"/>
    <s v="Yes"/>
    <n v="30"/>
    <s v="Yes"/>
    <x v="0"/>
    <x v="3"/>
    <n v="62"/>
  </r>
  <r>
    <x v="4"/>
    <s v="Pedro Gonçalves"/>
    <x v="1"/>
    <x v="4"/>
    <x v="0"/>
    <n v="5"/>
    <x v="0"/>
    <s v="No"/>
    <s v="-"/>
    <s v="No"/>
    <x v="1"/>
    <x v="4"/>
    <n v="4"/>
  </r>
  <r>
    <x v="5"/>
    <s v="Felipe Costa"/>
    <x v="2"/>
    <x v="5"/>
    <x v="1"/>
    <n v="10"/>
    <x v="0"/>
    <s v="No"/>
    <s v="-"/>
    <s v="Yes"/>
    <x v="0"/>
    <x v="5"/>
    <n v="28"/>
  </r>
  <r>
    <x v="6"/>
    <s v="Camila Ribeiro"/>
    <x v="0"/>
    <x v="6"/>
    <x v="0"/>
    <n v="15"/>
    <x v="2"/>
    <s v="Yes"/>
    <n v="30"/>
    <s v="Yes"/>
    <x v="0"/>
    <x v="2"/>
    <n v="55"/>
  </r>
  <r>
    <x v="7"/>
    <s v="André Mendes"/>
    <x v="1"/>
    <x v="7"/>
    <x v="0"/>
    <n v="5"/>
    <x v="1"/>
    <s v="No"/>
    <s v="-"/>
    <s v="No"/>
    <x v="1"/>
    <x v="1"/>
    <n v="5"/>
  </r>
  <r>
    <x v="8"/>
    <s v="Sofia Almeida"/>
    <x v="0"/>
    <x v="4"/>
    <x v="1"/>
    <n v="15"/>
    <x v="0"/>
    <s v="Yes"/>
    <n v="30"/>
    <s v="Yes"/>
    <x v="0"/>
    <x v="0"/>
    <n v="60"/>
  </r>
  <r>
    <x v="9"/>
    <s v="Bruno Martins"/>
    <x v="2"/>
    <x v="8"/>
    <x v="0"/>
    <n v="10"/>
    <x v="2"/>
    <s v="No"/>
    <s v="-"/>
    <s v="Yes"/>
    <x v="0"/>
    <x v="6"/>
    <n v="15"/>
  </r>
  <r>
    <x v="10"/>
    <s v="Rita Castro"/>
    <x v="1"/>
    <x v="9"/>
    <x v="1"/>
    <n v="5"/>
    <x v="0"/>
    <s v="No"/>
    <s v="-"/>
    <s v="No"/>
    <x v="1"/>
    <x v="4"/>
    <n v="4"/>
  </r>
  <r>
    <x v="11"/>
    <s v="Marco Túlio"/>
    <x v="0"/>
    <x v="10"/>
    <x v="0"/>
    <n v="15"/>
    <x v="1"/>
    <s v="Yes"/>
    <n v="30"/>
    <s v="Yes"/>
    <x v="0"/>
    <x v="7"/>
    <n v="45"/>
  </r>
  <r>
    <x v="12"/>
    <s v="Lívia Silveira"/>
    <x v="2"/>
    <x v="11"/>
    <x v="1"/>
    <n v="10"/>
    <x v="0"/>
    <s v="No"/>
    <s v="-"/>
    <s v="Yes"/>
    <x v="0"/>
    <x v="2"/>
    <n v="20"/>
  </r>
  <r>
    <x v="13"/>
    <s v="Diogo Sousa"/>
    <x v="1"/>
    <x v="12"/>
    <x v="0"/>
    <n v="5"/>
    <x v="2"/>
    <s v="No"/>
    <s v="-"/>
    <s v="No"/>
    <x v="1"/>
    <x v="1"/>
    <n v="5"/>
  </r>
  <r>
    <x v="14"/>
    <s v="Fernanda Lima"/>
    <x v="0"/>
    <x v="13"/>
    <x v="1"/>
    <n v="15"/>
    <x v="0"/>
    <s v="Yes"/>
    <n v="30"/>
    <s v="Yes"/>
    <x v="0"/>
    <x v="8"/>
    <n v="57"/>
  </r>
  <r>
    <x v="15"/>
    <s v="Caio Pereira"/>
    <x v="2"/>
    <x v="14"/>
    <x v="0"/>
    <n v="10"/>
    <x v="1"/>
    <s v="No"/>
    <s v="-"/>
    <s v="Yes"/>
    <x v="0"/>
    <x v="9"/>
    <n v="18"/>
  </r>
  <r>
    <x v="16"/>
    <s v="Beatriz Gomes"/>
    <x v="1"/>
    <x v="15"/>
    <x v="1"/>
    <n v="5"/>
    <x v="0"/>
    <s v="No"/>
    <s v="-"/>
    <s v="No"/>
    <x v="1"/>
    <x v="5"/>
    <n v="3"/>
  </r>
  <r>
    <x v="17"/>
    <s v="Cesar Oliveira"/>
    <x v="0"/>
    <x v="16"/>
    <x v="0"/>
    <n v="15"/>
    <x v="2"/>
    <s v="Yes"/>
    <n v="30"/>
    <s v="Yes"/>
    <x v="0"/>
    <x v="10"/>
    <n v="58"/>
  </r>
  <r>
    <x v="18"/>
    <s v="Débora Machado"/>
    <x v="2"/>
    <x v="17"/>
    <x v="1"/>
    <n v="10"/>
    <x v="0"/>
    <s v="No"/>
    <s v="-"/>
    <s v="Yes"/>
    <x v="0"/>
    <x v="0"/>
    <n v="25"/>
  </r>
  <r>
    <x v="19"/>
    <s v="Eduardo Vargas"/>
    <x v="1"/>
    <x v="18"/>
    <x v="0"/>
    <n v="5"/>
    <x v="1"/>
    <s v="No"/>
    <s v="-"/>
    <s v="No"/>
    <x v="1"/>
    <x v="1"/>
    <n v="5"/>
  </r>
  <r>
    <x v="20"/>
    <s v="Gabriela Santos"/>
    <x v="0"/>
    <x v="19"/>
    <x v="1"/>
    <n v="15"/>
    <x v="0"/>
    <s v="Yes"/>
    <n v="30"/>
    <s v="Yes"/>
    <x v="0"/>
    <x v="3"/>
    <n v="62"/>
  </r>
  <r>
    <x v="21"/>
    <s v="Henrique Dias"/>
    <x v="2"/>
    <x v="20"/>
    <x v="0"/>
    <n v="10"/>
    <x v="2"/>
    <s v="No"/>
    <s v="-"/>
    <s v="Yes"/>
    <x v="0"/>
    <x v="6"/>
    <n v="15"/>
  </r>
  <r>
    <x v="22"/>
    <s v="Isabela Moreira"/>
    <x v="1"/>
    <x v="21"/>
    <x v="1"/>
    <n v="5"/>
    <x v="0"/>
    <s v="No"/>
    <s v="-"/>
    <s v="No"/>
    <x v="1"/>
    <x v="4"/>
    <n v="4"/>
  </r>
  <r>
    <x v="23"/>
    <s v="Joaquim Barbosa"/>
    <x v="0"/>
    <x v="22"/>
    <x v="0"/>
    <n v="15"/>
    <x v="1"/>
    <s v="Yes"/>
    <n v="30"/>
    <s v="Yes"/>
    <x v="0"/>
    <x v="7"/>
    <n v="45"/>
  </r>
  <r>
    <x v="24"/>
    <s v="Lara Rocha"/>
    <x v="2"/>
    <x v="23"/>
    <x v="1"/>
    <n v="10"/>
    <x v="0"/>
    <s v="No"/>
    <s v="-"/>
    <s v="Yes"/>
    <x v="0"/>
    <x v="2"/>
    <n v="20"/>
  </r>
  <r>
    <x v="25"/>
    <s v="Matheus Silva"/>
    <x v="1"/>
    <x v="24"/>
    <x v="0"/>
    <n v="5"/>
    <x v="2"/>
    <s v="No"/>
    <s v="-"/>
    <s v="No"/>
    <x v="1"/>
    <x v="1"/>
    <n v="5"/>
  </r>
  <r>
    <x v="26"/>
    <s v="Nicole Costa"/>
    <x v="0"/>
    <x v="25"/>
    <x v="1"/>
    <n v="15"/>
    <x v="0"/>
    <s v="Yes"/>
    <n v="30"/>
    <s v="Yes"/>
    <x v="0"/>
    <x v="0"/>
    <n v="60"/>
  </r>
  <r>
    <x v="27"/>
    <s v="Otávio Mendonça"/>
    <x v="2"/>
    <x v="26"/>
    <x v="0"/>
    <n v="10"/>
    <x v="1"/>
    <s v="No"/>
    <s v="-"/>
    <s v="Yes"/>
    <x v="0"/>
    <x v="6"/>
    <n v="15"/>
  </r>
  <r>
    <x v="28"/>
    <s v="Paula Ferreira"/>
    <x v="1"/>
    <x v="27"/>
    <x v="1"/>
    <n v="5"/>
    <x v="0"/>
    <s v="No"/>
    <s v="-"/>
    <s v="No"/>
    <x v="1"/>
    <x v="4"/>
    <n v="4"/>
  </r>
  <r>
    <x v="29"/>
    <s v="Raquel Alves"/>
    <x v="0"/>
    <x v="28"/>
    <x v="0"/>
    <n v="15"/>
    <x v="2"/>
    <s v="Yes"/>
    <n v="30"/>
    <s v="Yes"/>
    <x v="0"/>
    <x v="10"/>
    <n v="58"/>
  </r>
  <r>
    <x v="30"/>
    <s v="Samuel Pires"/>
    <x v="2"/>
    <x v="29"/>
    <x v="1"/>
    <n v="10"/>
    <x v="0"/>
    <s v="No"/>
    <s v="-"/>
    <s v="Yes"/>
    <x v="0"/>
    <x v="2"/>
    <n v="20"/>
  </r>
  <r>
    <x v="31"/>
    <s v="Tânia Barros"/>
    <x v="1"/>
    <x v="30"/>
    <x v="0"/>
    <n v="5"/>
    <x v="1"/>
    <s v="No"/>
    <s v="-"/>
    <s v="No"/>
    <x v="1"/>
    <x v="1"/>
    <n v="5"/>
  </r>
  <r>
    <x v="32"/>
    <s v="Vinicius Lima"/>
    <x v="0"/>
    <x v="31"/>
    <x v="1"/>
    <n v="15"/>
    <x v="0"/>
    <s v="Yes"/>
    <n v="30"/>
    <s v="Yes"/>
    <x v="0"/>
    <x v="3"/>
    <n v="62"/>
  </r>
  <r>
    <x v="33"/>
    <s v="Yasmin Teixeira"/>
    <x v="2"/>
    <x v="32"/>
    <x v="0"/>
    <n v="10"/>
    <x v="2"/>
    <s v="No"/>
    <s v="-"/>
    <s v="Yes"/>
    <x v="0"/>
    <x v="6"/>
    <n v="15"/>
  </r>
  <r>
    <x v="34"/>
    <s v="Zé Carlos"/>
    <x v="1"/>
    <x v="33"/>
    <x v="1"/>
    <n v="5"/>
    <x v="0"/>
    <s v="No"/>
    <s v="-"/>
    <s v="No"/>
    <x v="1"/>
    <x v="4"/>
    <n v="4"/>
  </r>
  <r>
    <x v="35"/>
    <s v="Amanda Nogueira"/>
    <x v="1"/>
    <x v="34"/>
    <x v="0"/>
    <n v="5"/>
    <x v="0"/>
    <s v="No"/>
    <s v="-"/>
    <s v="No"/>
    <x v="1"/>
    <x v="1"/>
    <n v="5"/>
  </r>
  <r>
    <x v="36"/>
    <s v="Bruno Cavalheiro"/>
    <x v="0"/>
    <x v="35"/>
    <x v="1"/>
    <n v="15"/>
    <x v="2"/>
    <s v="Yes"/>
    <n v="30"/>
    <s v="Yes"/>
    <x v="0"/>
    <x v="10"/>
    <n v="58"/>
  </r>
  <r>
    <x v="37"/>
    <s v="Carla Dias"/>
    <x v="2"/>
    <x v="36"/>
    <x v="0"/>
    <n v="10"/>
    <x v="1"/>
    <s v="No"/>
    <s v="-"/>
    <s v="Yes"/>
    <x v="0"/>
    <x v="2"/>
    <n v="20"/>
  </r>
  <r>
    <x v="38"/>
    <s v="Diego Fontes"/>
    <x v="1"/>
    <x v="37"/>
    <x v="1"/>
    <n v="5"/>
    <x v="2"/>
    <s v="No"/>
    <s v="-"/>
    <s v="No"/>
    <x v="1"/>
    <x v="4"/>
    <n v="4"/>
  </r>
  <r>
    <x v="39"/>
    <s v="Eunice Lima"/>
    <x v="0"/>
    <x v="38"/>
    <x v="0"/>
    <n v="15"/>
    <x v="0"/>
    <s v="Yes"/>
    <n v="30"/>
    <s v="Yes"/>
    <x v="0"/>
    <x v="6"/>
    <n v="50"/>
  </r>
  <r>
    <x v="40"/>
    <s v="Fábio Martins"/>
    <x v="2"/>
    <x v="39"/>
    <x v="1"/>
    <n v="10"/>
    <x v="0"/>
    <s v="No"/>
    <s v="-"/>
    <s v="Yes"/>
    <x v="0"/>
    <x v="0"/>
    <n v="25"/>
  </r>
  <r>
    <x v="41"/>
    <s v="Gisele Araújo"/>
    <x v="1"/>
    <x v="40"/>
    <x v="0"/>
    <n v="5"/>
    <x v="1"/>
    <s v="No"/>
    <s v="-"/>
    <s v="No"/>
    <x v="1"/>
    <x v="1"/>
    <n v="5"/>
  </r>
  <r>
    <x v="42"/>
    <s v="Hélio Castro"/>
    <x v="0"/>
    <x v="41"/>
    <x v="1"/>
    <n v="15"/>
    <x v="2"/>
    <s v="Yes"/>
    <n v="30"/>
    <s v="Yes"/>
    <x v="0"/>
    <x v="7"/>
    <n v="45"/>
  </r>
  <r>
    <x v="43"/>
    <s v="Ingrid Menezes"/>
    <x v="2"/>
    <x v="42"/>
    <x v="0"/>
    <n v="10"/>
    <x v="2"/>
    <s v="No"/>
    <s v="-"/>
    <s v="Yes"/>
    <x v="0"/>
    <x v="9"/>
    <n v="18"/>
  </r>
  <r>
    <x v="44"/>
    <s v="Jorge Baptista"/>
    <x v="1"/>
    <x v="43"/>
    <x v="1"/>
    <n v="5"/>
    <x v="0"/>
    <s v="No"/>
    <s v="-"/>
    <s v="No"/>
    <x v="1"/>
    <x v="5"/>
    <n v="3"/>
  </r>
  <r>
    <x v="45"/>
    <s v="Kléber Oliveira"/>
    <x v="0"/>
    <x v="44"/>
    <x v="0"/>
    <n v="15"/>
    <x v="1"/>
    <s v="Yes"/>
    <n v="30"/>
    <s v="Yes"/>
    <x v="0"/>
    <x v="0"/>
    <n v="60"/>
  </r>
  <r>
    <x v="46"/>
    <s v="Luciana Freitas"/>
    <x v="2"/>
    <x v="45"/>
    <x v="1"/>
    <n v="10"/>
    <x v="0"/>
    <s v="No"/>
    <s v="-"/>
    <s v="Yes"/>
    <x v="0"/>
    <x v="2"/>
    <n v="20"/>
  </r>
  <r>
    <x v="47"/>
    <s v="Márcia Eller"/>
    <x v="1"/>
    <x v="46"/>
    <x v="0"/>
    <n v="5"/>
    <x v="2"/>
    <s v="No"/>
    <s v="-"/>
    <s v="No"/>
    <x v="1"/>
    <x v="1"/>
    <n v="5"/>
  </r>
  <r>
    <x v="48"/>
    <s v="Nilo Peçanha"/>
    <x v="0"/>
    <x v="47"/>
    <x v="1"/>
    <n v="15"/>
    <x v="0"/>
    <s v="Yes"/>
    <n v="30"/>
    <s v="Yes"/>
    <x v="0"/>
    <x v="3"/>
    <n v="62"/>
  </r>
  <r>
    <x v="49"/>
    <s v="Oscar Neves"/>
    <x v="2"/>
    <x v="48"/>
    <x v="0"/>
    <n v="10"/>
    <x v="1"/>
    <s v="No"/>
    <s v="-"/>
    <s v="Yes"/>
    <x v="0"/>
    <x v="6"/>
    <n v="15"/>
  </r>
  <r>
    <x v="50"/>
    <s v="Patrícia Soares"/>
    <x v="1"/>
    <x v="49"/>
    <x v="1"/>
    <n v="5"/>
    <x v="0"/>
    <s v="No"/>
    <s v="-"/>
    <s v="No"/>
    <x v="1"/>
    <x v="4"/>
    <n v="4"/>
  </r>
  <r>
    <x v="51"/>
    <s v="Quirino Gonçalves"/>
    <x v="0"/>
    <x v="50"/>
    <x v="0"/>
    <n v="15"/>
    <x v="2"/>
    <s v="Yes"/>
    <n v="30"/>
    <s v="Yes"/>
    <x v="0"/>
    <x v="10"/>
    <n v="58"/>
  </r>
  <r>
    <x v="52"/>
    <s v="Raul Machado"/>
    <x v="2"/>
    <x v="51"/>
    <x v="1"/>
    <n v="10"/>
    <x v="0"/>
    <s v="No"/>
    <s v="-"/>
    <s v="Yes"/>
    <x v="0"/>
    <x v="2"/>
    <n v="20"/>
  </r>
  <r>
    <x v="53"/>
    <s v="Sônia Lobo"/>
    <x v="1"/>
    <x v="52"/>
    <x v="0"/>
    <n v="5"/>
    <x v="1"/>
    <s v="No"/>
    <s v="-"/>
    <s v="No"/>
    <x v="1"/>
    <x v="1"/>
    <n v="5"/>
  </r>
  <r>
    <x v="54"/>
    <s v="Tiago Ramos"/>
    <x v="0"/>
    <x v="53"/>
    <x v="1"/>
    <n v="15"/>
    <x v="0"/>
    <s v="Yes"/>
    <n v="30"/>
    <s v="Yes"/>
    <x v="0"/>
    <x v="7"/>
    <n v="45"/>
  </r>
  <r>
    <x v="55"/>
    <s v="Ugo Pires"/>
    <x v="2"/>
    <x v="54"/>
    <x v="0"/>
    <n v="10"/>
    <x v="2"/>
    <s v="No"/>
    <s v="-"/>
    <s v="Yes"/>
    <x v="0"/>
    <x v="6"/>
    <n v="15"/>
  </r>
  <r>
    <x v="56"/>
    <s v="Valéria Nobre"/>
    <x v="1"/>
    <x v="55"/>
    <x v="1"/>
    <n v="5"/>
    <x v="0"/>
    <s v="No"/>
    <s v="-"/>
    <s v="No"/>
    <x v="1"/>
    <x v="4"/>
    <n v="4"/>
  </r>
  <r>
    <x v="57"/>
    <s v="William Siqueira"/>
    <x v="0"/>
    <x v="56"/>
    <x v="0"/>
    <n v="15"/>
    <x v="1"/>
    <s v="Yes"/>
    <n v="30"/>
    <s v="Yes"/>
    <x v="0"/>
    <x v="3"/>
    <n v="62"/>
  </r>
  <r>
    <x v="58"/>
    <s v="Xuxa Meneghel"/>
    <x v="2"/>
    <x v="57"/>
    <x v="1"/>
    <n v="10"/>
    <x v="0"/>
    <s v="No"/>
    <s v="-"/>
    <s v="Yes"/>
    <x v="0"/>
    <x v="2"/>
    <n v="20"/>
  </r>
  <r>
    <x v="59"/>
    <s v="Yara Figueiredo"/>
    <x v="1"/>
    <x v="58"/>
    <x v="0"/>
    <n v="5"/>
    <x v="2"/>
    <s v="No"/>
    <s v="-"/>
    <s v="No"/>
    <x v="1"/>
    <x v="1"/>
    <n v="5"/>
  </r>
  <r>
    <x v="60"/>
    <s v="Zacarias Alves"/>
    <x v="0"/>
    <x v="59"/>
    <x v="1"/>
    <n v="15"/>
    <x v="0"/>
    <s v="Yes"/>
    <n v="30"/>
    <s v="Yes"/>
    <x v="0"/>
    <x v="0"/>
    <n v="60"/>
  </r>
  <r>
    <x v="61"/>
    <s v="Amanda Bynes"/>
    <x v="2"/>
    <x v="60"/>
    <x v="0"/>
    <n v="10"/>
    <x v="1"/>
    <s v="No"/>
    <s v="-"/>
    <s v="Yes"/>
    <x v="0"/>
    <x v="6"/>
    <n v="15"/>
  </r>
  <r>
    <x v="62"/>
    <s v="Bruno Mars"/>
    <x v="1"/>
    <x v="61"/>
    <x v="1"/>
    <n v="5"/>
    <x v="0"/>
    <s v="No"/>
    <s v="-"/>
    <s v="No"/>
    <x v="1"/>
    <x v="4"/>
    <n v="4"/>
  </r>
  <r>
    <x v="63"/>
    <s v="Carla Bruni"/>
    <x v="0"/>
    <x v="62"/>
    <x v="0"/>
    <n v="15"/>
    <x v="2"/>
    <s v="Yes"/>
    <n v="30"/>
    <s v="Yes"/>
    <x v="0"/>
    <x v="7"/>
    <n v="45"/>
  </r>
  <r>
    <x v="64"/>
    <s v="Diego Maradona"/>
    <x v="2"/>
    <x v="63"/>
    <x v="1"/>
    <n v="10"/>
    <x v="0"/>
    <s v="No"/>
    <s v="-"/>
    <s v="Yes"/>
    <x v="0"/>
    <x v="0"/>
    <n v="25"/>
  </r>
  <r>
    <x v="65"/>
    <s v="Estela Marques"/>
    <x v="1"/>
    <x v="64"/>
    <x v="1"/>
    <n v="5"/>
    <x v="0"/>
    <s v="No"/>
    <s v="-"/>
    <s v="No"/>
    <x v="1"/>
    <x v="1"/>
    <n v="5"/>
  </r>
  <r>
    <x v="66"/>
    <s v="Fábio Nobre"/>
    <x v="0"/>
    <x v="65"/>
    <x v="0"/>
    <n v="15"/>
    <x v="2"/>
    <s v="Yes"/>
    <n v="30"/>
    <s v="Yes"/>
    <x v="0"/>
    <x v="10"/>
    <n v="58"/>
  </r>
  <r>
    <x v="67"/>
    <s v="Gabriel Oliveira"/>
    <x v="2"/>
    <x v="66"/>
    <x v="1"/>
    <n v="10"/>
    <x v="1"/>
    <s v="No"/>
    <s v="-"/>
    <s v="Yes"/>
    <x v="0"/>
    <x v="2"/>
    <n v="20"/>
  </r>
  <r>
    <x v="68"/>
    <s v="Helena Santos"/>
    <x v="1"/>
    <x v="67"/>
    <x v="0"/>
    <n v="5"/>
    <x v="2"/>
    <s v="No"/>
    <s v="-"/>
    <s v="No"/>
    <x v="1"/>
    <x v="4"/>
    <n v="4"/>
  </r>
  <r>
    <x v="69"/>
    <s v="Ivan Carvalho"/>
    <x v="0"/>
    <x v="68"/>
    <x v="1"/>
    <n v="15"/>
    <x v="0"/>
    <s v="Yes"/>
    <n v="30"/>
    <s v="Yes"/>
    <x v="0"/>
    <x v="6"/>
    <n v="50"/>
  </r>
  <r>
    <x v="70"/>
    <s v="Júlia Ferreira"/>
    <x v="2"/>
    <x v="69"/>
    <x v="0"/>
    <n v="10"/>
    <x v="0"/>
    <s v="No"/>
    <s v="-"/>
    <s v="Yes"/>
    <x v="0"/>
    <x v="0"/>
    <n v="25"/>
  </r>
  <r>
    <x v="71"/>
    <s v="Karla Alves"/>
    <x v="1"/>
    <x v="70"/>
    <x v="1"/>
    <n v="5"/>
    <x v="1"/>
    <s v="No"/>
    <s v="-"/>
    <s v="No"/>
    <x v="1"/>
    <x v="1"/>
    <n v="5"/>
  </r>
  <r>
    <x v="72"/>
    <s v="Lucas Mendes"/>
    <x v="0"/>
    <x v="71"/>
    <x v="0"/>
    <n v="15"/>
    <x v="2"/>
    <s v="Yes"/>
    <n v="30"/>
    <s v="Yes"/>
    <x v="0"/>
    <x v="7"/>
    <n v="45"/>
  </r>
  <r>
    <x v="73"/>
    <s v="Mônica Gomes"/>
    <x v="2"/>
    <x v="72"/>
    <x v="1"/>
    <n v="10"/>
    <x v="2"/>
    <s v="No"/>
    <s v="-"/>
    <s v="Yes"/>
    <x v="0"/>
    <x v="9"/>
    <n v="18"/>
  </r>
  <r>
    <x v="74"/>
    <s v="Norberto Queiroz"/>
    <x v="1"/>
    <x v="73"/>
    <x v="0"/>
    <n v="5"/>
    <x v="0"/>
    <s v="No"/>
    <s v="-"/>
    <s v="No"/>
    <x v="1"/>
    <x v="5"/>
    <n v="3"/>
  </r>
  <r>
    <x v="75"/>
    <s v="Otávio Barros"/>
    <x v="0"/>
    <x v="74"/>
    <x v="1"/>
    <n v="15"/>
    <x v="1"/>
    <s v="Yes"/>
    <n v="30"/>
    <s v="Yes"/>
    <x v="0"/>
    <x v="0"/>
    <n v="60"/>
  </r>
  <r>
    <x v="76"/>
    <s v="Paula Vieira"/>
    <x v="2"/>
    <x v="75"/>
    <x v="0"/>
    <n v="10"/>
    <x v="0"/>
    <s v="No"/>
    <s v="-"/>
    <s v="Yes"/>
    <x v="0"/>
    <x v="2"/>
    <n v="20"/>
  </r>
  <r>
    <x v="77"/>
    <s v="Quentin Ramos"/>
    <x v="1"/>
    <x v="76"/>
    <x v="1"/>
    <n v="5"/>
    <x v="2"/>
    <s v="No"/>
    <s v="-"/>
    <s v="No"/>
    <x v="1"/>
    <x v="1"/>
    <n v="5"/>
  </r>
  <r>
    <x v="78"/>
    <s v="Raquel Novaes"/>
    <x v="0"/>
    <x v="77"/>
    <x v="0"/>
    <n v="15"/>
    <x v="0"/>
    <s v="Yes"/>
    <n v="30"/>
    <s v="Yes"/>
    <x v="0"/>
    <x v="3"/>
    <n v="62"/>
  </r>
  <r>
    <x v="79"/>
    <s v="Samantha Lopes"/>
    <x v="2"/>
    <x v="78"/>
    <x v="1"/>
    <n v="10"/>
    <x v="1"/>
    <s v="No"/>
    <s v="-"/>
    <s v="Yes"/>
    <x v="0"/>
    <x v="6"/>
    <n v="15"/>
  </r>
  <r>
    <x v="80"/>
    <s v="Tiago Martins"/>
    <x v="1"/>
    <x v="79"/>
    <x v="0"/>
    <n v="5"/>
    <x v="0"/>
    <s v="No"/>
    <s v="-"/>
    <s v="No"/>
    <x v="1"/>
    <x v="4"/>
    <n v="4"/>
  </r>
  <r>
    <x v="81"/>
    <s v="Ulysses Guimarães"/>
    <x v="0"/>
    <x v="80"/>
    <x v="1"/>
    <n v="15"/>
    <x v="2"/>
    <s v="Yes"/>
    <n v="30"/>
    <s v="Yes"/>
    <x v="0"/>
    <x v="10"/>
    <n v="58"/>
  </r>
  <r>
    <x v="82"/>
    <s v="Vanessa Silva"/>
    <x v="2"/>
    <x v="81"/>
    <x v="0"/>
    <n v="10"/>
    <x v="0"/>
    <s v="No"/>
    <s v="-"/>
    <s v="Yes"/>
    <x v="0"/>
    <x v="2"/>
    <n v="20"/>
  </r>
  <r>
    <x v="83"/>
    <s v="William Carneiro"/>
    <x v="1"/>
    <x v="82"/>
    <x v="1"/>
    <n v="5"/>
    <x v="1"/>
    <s v="No"/>
    <s v="-"/>
    <s v="No"/>
    <x v="1"/>
    <x v="1"/>
    <n v="5"/>
  </r>
  <r>
    <x v="84"/>
    <s v="Ximena Rocha"/>
    <x v="0"/>
    <x v="83"/>
    <x v="0"/>
    <n v="15"/>
    <x v="0"/>
    <s v="Yes"/>
    <n v="30"/>
    <s v="Yes"/>
    <x v="0"/>
    <x v="7"/>
    <n v="45"/>
  </r>
  <r>
    <x v="85"/>
    <s v="Yasmin Figueiredo"/>
    <x v="2"/>
    <x v="84"/>
    <x v="1"/>
    <n v="10"/>
    <x v="2"/>
    <s v="No"/>
    <s v="-"/>
    <s v="Yes"/>
    <x v="0"/>
    <x v="6"/>
    <n v="15"/>
  </r>
  <r>
    <x v="86"/>
    <s v="Zara Cunha"/>
    <x v="1"/>
    <x v="85"/>
    <x v="0"/>
    <n v="5"/>
    <x v="0"/>
    <s v="No"/>
    <s v="-"/>
    <s v="No"/>
    <x v="1"/>
    <x v="4"/>
    <n v="4"/>
  </r>
  <r>
    <x v="87"/>
    <s v="Alan Teixeira"/>
    <x v="0"/>
    <x v="86"/>
    <x v="1"/>
    <n v="15"/>
    <x v="1"/>
    <s v="Yes"/>
    <n v="30"/>
    <s v="Yes"/>
    <x v="0"/>
    <x v="3"/>
    <n v="62"/>
  </r>
  <r>
    <x v="88"/>
    <s v="Bárbara Oliveira"/>
    <x v="2"/>
    <x v="87"/>
    <x v="0"/>
    <n v="10"/>
    <x v="0"/>
    <s v="No"/>
    <s v="-"/>
    <s v="Yes"/>
    <x v="0"/>
    <x v="2"/>
    <n v="20"/>
  </r>
  <r>
    <x v="89"/>
    <s v="Carlos Junqueira"/>
    <x v="1"/>
    <x v="88"/>
    <x v="1"/>
    <n v="5"/>
    <x v="2"/>
    <s v="No"/>
    <s v="-"/>
    <s v="No"/>
    <x v="1"/>
    <x v="1"/>
    <n v="5"/>
  </r>
  <r>
    <x v="90"/>
    <s v="Daniela Moura"/>
    <x v="0"/>
    <x v="89"/>
    <x v="0"/>
    <n v="15"/>
    <x v="0"/>
    <s v="Yes"/>
    <n v="30"/>
    <s v="Yes"/>
    <x v="0"/>
    <x v="0"/>
    <n v="60"/>
  </r>
  <r>
    <x v="91"/>
    <s v="Eduardo Lima"/>
    <x v="2"/>
    <x v="90"/>
    <x v="1"/>
    <n v="10"/>
    <x v="1"/>
    <s v="No"/>
    <s v="-"/>
    <s v="Yes"/>
    <x v="0"/>
    <x v="6"/>
    <n v="15"/>
  </r>
  <r>
    <x v="92"/>
    <s v="Fabiana Araújo"/>
    <x v="1"/>
    <x v="91"/>
    <x v="0"/>
    <n v="5"/>
    <x v="0"/>
    <s v="No"/>
    <s v="-"/>
    <s v="No"/>
    <x v="1"/>
    <x v="4"/>
    <n v="4"/>
  </r>
  <r>
    <x v="93"/>
    <s v="Geraldo Ribeiro"/>
    <x v="0"/>
    <x v="92"/>
    <x v="1"/>
    <n v="15"/>
    <x v="2"/>
    <s v="Yes"/>
    <n v="30"/>
    <s v="Yes"/>
    <x v="0"/>
    <x v="7"/>
    <n v="45"/>
  </r>
  <r>
    <x v="94"/>
    <s v="Héctor Vargas"/>
    <x v="2"/>
    <x v="93"/>
    <x v="0"/>
    <n v="10"/>
    <x v="2"/>
    <s v="No"/>
    <s v="-"/>
    <s v="Yes"/>
    <x v="0"/>
    <x v="6"/>
    <n v="15"/>
  </r>
  <r>
    <x v="95"/>
    <s v="Isabela Fonseca"/>
    <x v="1"/>
    <x v="94"/>
    <x v="1"/>
    <n v="5"/>
    <x v="1"/>
    <s v="No"/>
    <s v="-"/>
    <s v="No"/>
    <x v="1"/>
    <x v="1"/>
    <n v="5"/>
  </r>
  <r>
    <x v="96"/>
    <s v="João Pedro Almeida"/>
    <x v="0"/>
    <x v="95"/>
    <x v="0"/>
    <n v="15"/>
    <x v="0"/>
    <s v="Yes"/>
    <n v="30"/>
    <s v="Yes"/>
    <x v="0"/>
    <x v="10"/>
    <n v="58"/>
  </r>
  <r>
    <x v="97"/>
    <s v="Klara Costa"/>
    <x v="2"/>
    <x v="96"/>
    <x v="1"/>
    <n v="10"/>
    <x v="1"/>
    <s v="No"/>
    <s v="-"/>
    <s v="Yes"/>
    <x v="0"/>
    <x v="2"/>
    <n v="20"/>
  </r>
  <r>
    <x v="98"/>
    <s v="Luciana Mendes"/>
    <x v="1"/>
    <x v="97"/>
    <x v="0"/>
    <n v="5"/>
    <x v="2"/>
    <s v="No"/>
    <s v="-"/>
    <s v="No"/>
    <x v="1"/>
    <x v="4"/>
    <n v="4"/>
  </r>
  <r>
    <x v="99"/>
    <s v="Marcelo Gouveia"/>
    <x v="0"/>
    <x v="98"/>
    <x v="1"/>
    <n v="15"/>
    <x v="0"/>
    <s v="Yes"/>
    <n v="30"/>
    <s v="Yes"/>
    <x v="0"/>
    <x v="6"/>
    <n v="50"/>
  </r>
  <r>
    <x v="100"/>
    <s v="Nívea Borges"/>
    <x v="2"/>
    <x v="99"/>
    <x v="0"/>
    <n v="10"/>
    <x v="0"/>
    <s v="No"/>
    <s v="-"/>
    <s v="Yes"/>
    <x v="0"/>
    <x v="0"/>
    <n v="25"/>
  </r>
  <r>
    <x v="101"/>
    <s v="Oscar Nogueira"/>
    <x v="1"/>
    <x v="100"/>
    <x v="1"/>
    <n v="5"/>
    <x v="1"/>
    <s v="No"/>
    <s v="-"/>
    <s v="No"/>
    <x v="1"/>
    <x v="1"/>
    <n v="5"/>
  </r>
  <r>
    <x v="102"/>
    <s v="Patrícia Alves"/>
    <x v="0"/>
    <x v="101"/>
    <x v="0"/>
    <n v="15"/>
    <x v="2"/>
    <s v="Yes"/>
    <n v="30"/>
    <s v="Yes"/>
    <x v="0"/>
    <x v="7"/>
    <n v="45"/>
  </r>
  <r>
    <x v="103"/>
    <s v="Rafaela Silva"/>
    <x v="2"/>
    <x v="102"/>
    <x v="1"/>
    <n v="10"/>
    <x v="2"/>
    <s v="No"/>
    <s v="-"/>
    <s v="Yes"/>
    <x v="0"/>
    <x v="9"/>
    <n v="18"/>
  </r>
  <r>
    <x v="104"/>
    <s v="Samantha Moraes"/>
    <x v="1"/>
    <x v="103"/>
    <x v="0"/>
    <n v="5"/>
    <x v="0"/>
    <s v="No"/>
    <s v="-"/>
    <s v="No"/>
    <x v="1"/>
    <x v="5"/>
    <n v="3"/>
  </r>
  <r>
    <x v="105"/>
    <s v="Tatiana Rocha"/>
    <x v="1"/>
    <x v="104"/>
    <x v="0"/>
    <n v="5"/>
    <x v="0"/>
    <s v="No"/>
    <s v="-"/>
    <s v="No"/>
    <x v="1"/>
    <x v="1"/>
    <n v="5"/>
  </r>
  <r>
    <x v="106"/>
    <s v="Ulisses Tavares"/>
    <x v="0"/>
    <x v="105"/>
    <x v="1"/>
    <n v="15"/>
    <x v="2"/>
    <s v="Yes"/>
    <n v="30"/>
    <s v="Yes"/>
    <x v="0"/>
    <x v="10"/>
    <n v="58"/>
  </r>
  <r>
    <x v="107"/>
    <s v="Víctor Lemos"/>
    <x v="2"/>
    <x v="106"/>
    <x v="0"/>
    <n v="10"/>
    <x v="1"/>
    <s v="No"/>
    <s v="-"/>
    <s v="Yes"/>
    <x v="0"/>
    <x v="2"/>
    <n v="20"/>
  </r>
  <r>
    <x v="108"/>
    <s v="Wilma Barros"/>
    <x v="1"/>
    <x v="107"/>
    <x v="1"/>
    <n v="5"/>
    <x v="2"/>
    <s v="No"/>
    <s v="-"/>
    <s v="No"/>
    <x v="1"/>
    <x v="4"/>
    <n v="4"/>
  </r>
  <r>
    <x v="109"/>
    <s v="Xavier Nascimento"/>
    <x v="0"/>
    <x v="108"/>
    <x v="0"/>
    <n v="15"/>
    <x v="0"/>
    <s v="Yes"/>
    <n v="30"/>
    <s v="Yes"/>
    <x v="0"/>
    <x v="6"/>
    <n v="50"/>
  </r>
  <r>
    <x v="110"/>
    <s v="Yago Pereira"/>
    <x v="2"/>
    <x v="109"/>
    <x v="1"/>
    <n v="10"/>
    <x v="0"/>
    <s v="No"/>
    <s v="-"/>
    <s v="Yes"/>
    <x v="0"/>
    <x v="0"/>
    <n v="25"/>
  </r>
  <r>
    <x v="111"/>
    <s v="Zilda Ferreira"/>
    <x v="1"/>
    <x v="110"/>
    <x v="0"/>
    <n v="5"/>
    <x v="1"/>
    <s v="No"/>
    <s v="-"/>
    <s v="No"/>
    <x v="1"/>
    <x v="1"/>
    <n v="5"/>
  </r>
  <r>
    <x v="112"/>
    <s v="Amanda Lopes"/>
    <x v="0"/>
    <x v="111"/>
    <x v="1"/>
    <n v="15"/>
    <x v="2"/>
    <s v="Yes"/>
    <n v="30"/>
    <s v="Yes"/>
    <x v="0"/>
    <x v="7"/>
    <n v="45"/>
  </r>
  <r>
    <x v="113"/>
    <s v="Bruno Miranda"/>
    <x v="2"/>
    <x v="112"/>
    <x v="0"/>
    <n v="10"/>
    <x v="2"/>
    <s v="No"/>
    <s v="-"/>
    <s v="Yes"/>
    <x v="0"/>
    <x v="9"/>
    <n v="18"/>
  </r>
  <r>
    <x v="114"/>
    <s v="Célia Torres"/>
    <x v="1"/>
    <x v="113"/>
    <x v="1"/>
    <n v="5"/>
    <x v="0"/>
    <s v="No"/>
    <s v="-"/>
    <s v="No"/>
    <x v="1"/>
    <x v="5"/>
    <n v="3"/>
  </r>
  <r>
    <x v="115"/>
    <s v="Diogo Souza"/>
    <x v="0"/>
    <x v="114"/>
    <x v="0"/>
    <n v="15"/>
    <x v="1"/>
    <s v="Yes"/>
    <n v="30"/>
    <s v="Yes"/>
    <x v="0"/>
    <x v="0"/>
    <n v="60"/>
  </r>
  <r>
    <x v="116"/>
    <s v="Elisa Castro"/>
    <x v="2"/>
    <x v="115"/>
    <x v="1"/>
    <n v="10"/>
    <x v="0"/>
    <s v="No"/>
    <s v="-"/>
    <s v="Yes"/>
    <x v="0"/>
    <x v="2"/>
    <n v="20"/>
  </r>
  <r>
    <x v="117"/>
    <s v="Fátima Lima"/>
    <x v="1"/>
    <x v="116"/>
    <x v="0"/>
    <n v="5"/>
    <x v="2"/>
    <s v="No"/>
    <s v="-"/>
    <s v="No"/>
    <x v="1"/>
    <x v="1"/>
    <n v="5"/>
  </r>
  <r>
    <x v="118"/>
    <s v="Geraldo Ribeiro"/>
    <x v="0"/>
    <x v="117"/>
    <x v="1"/>
    <n v="15"/>
    <x v="0"/>
    <s v="Yes"/>
    <n v="30"/>
    <s v="Yes"/>
    <x v="0"/>
    <x v="3"/>
    <n v="62"/>
  </r>
  <r>
    <x v="119"/>
    <s v="Hélio Martins"/>
    <x v="2"/>
    <x v="118"/>
    <x v="0"/>
    <n v="10"/>
    <x v="1"/>
    <s v="No"/>
    <s v="-"/>
    <s v="Yes"/>
    <x v="0"/>
    <x v="6"/>
    <n v="15"/>
  </r>
  <r>
    <x v="120"/>
    <s v="Íris Santos"/>
    <x v="1"/>
    <x v="119"/>
    <x v="1"/>
    <n v="5"/>
    <x v="0"/>
    <s v="No"/>
    <s v="-"/>
    <s v="No"/>
    <x v="1"/>
    <x v="4"/>
    <n v="4"/>
  </r>
  <r>
    <x v="121"/>
    <s v="João Marcelo"/>
    <x v="0"/>
    <x v="120"/>
    <x v="0"/>
    <n v="15"/>
    <x v="2"/>
    <s v="Yes"/>
    <n v="30"/>
    <s v="Yes"/>
    <x v="0"/>
    <x v="10"/>
    <n v="58"/>
  </r>
  <r>
    <x v="122"/>
    <s v="Larissa Gomes"/>
    <x v="2"/>
    <x v="121"/>
    <x v="1"/>
    <n v="10"/>
    <x v="0"/>
    <s v="No"/>
    <s v="-"/>
    <s v="Yes"/>
    <x v="0"/>
    <x v="2"/>
    <n v="20"/>
  </r>
  <r>
    <x v="123"/>
    <s v="Márcio Silva"/>
    <x v="1"/>
    <x v="122"/>
    <x v="0"/>
    <n v="5"/>
    <x v="1"/>
    <s v="No"/>
    <s v="-"/>
    <s v="No"/>
    <x v="1"/>
    <x v="1"/>
    <n v="5"/>
  </r>
  <r>
    <x v="124"/>
    <s v="Nadia Costa"/>
    <x v="0"/>
    <x v="123"/>
    <x v="1"/>
    <n v="15"/>
    <x v="0"/>
    <s v="Yes"/>
    <n v="30"/>
    <s v="Yes"/>
    <x v="0"/>
    <x v="7"/>
    <n v="45"/>
  </r>
  <r>
    <x v="125"/>
    <s v="Oscar Almeida"/>
    <x v="2"/>
    <x v="124"/>
    <x v="0"/>
    <n v="10"/>
    <x v="2"/>
    <s v="No"/>
    <s v="-"/>
    <s v="Yes"/>
    <x v="0"/>
    <x v="6"/>
    <n v="15"/>
  </r>
  <r>
    <x v="126"/>
    <s v="Patricia Soares"/>
    <x v="1"/>
    <x v="125"/>
    <x v="1"/>
    <n v="5"/>
    <x v="0"/>
    <s v="No"/>
    <s v="-"/>
    <s v="No"/>
    <x v="1"/>
    <x v="4"/>
    <n v="4"/>
  </r>
  <r>
    <x v="127"/>
    <s v="Quênia Barros"/>
    <x v="0"/>
    <x v="126"/>
    <x v="0"/>
    <n v="15"/>
    <x v="1"/>
    <s v="Yes"/>
    <n v="30"/>
    <s v="Yes"/>
    <x v="0"/>
    <x v="3"/>
    <n v="62"/>
  </r>
  <r>
    <x v="128"/>
    <s v="Rafael Torres"/>
    <x v="2"/>
    <x v="127"/>
    <x v="1"/>
    <n v="10"/>
    <x v="0"/>
    <s v="No"/>
    <s v="-"/>
    <s v="Yes"/>
    <x v="0"/>
    <x v="2"/>
    <n v="20"/>
  </r>
  <r>
    <x v="129"/>
    <s v="Silvia Nascimento"/>
    <x v="1"/>
    <x v="128"/>
    <x v="0"/>
    <n v="5"/>
    <x v="2"/>
    <s v="No"/>
    <s v="-"/>
    <s v="No"/>
    <x v="1"/>
    <x v="1"/>
    <n v="5"/>
  </r>
  <r>
    <x v="130"/>
    <s v="Tiago Mendes"/>
    <x v="0"/>
    <x v="129"/>
    <x v="1"/>
    <n v="15"/>
    <x v="0"/>
    <s v="Yes"/>
    <n v="30"/>
    <s v="Yes"/>
    <x v="0"/>
    <x v="6"/>
    <n v="50"/>
  </r>
  <r>
    <x v="131"/>
    <s v="Ursula Silva"/>
    <x v="2"/>
    <x v="130"/>
    <x v="0"/>
    <n v="10"/>
    <x v="1"/>
    <s v="No"/>
    <s v="-"/>
    <s v="Yes"/>
    <x v="0"/>
    <x v="6"/>
    <n v="15"/>
  </r>
  <r>
    <x v="132"/>
    <s v="Vanessa Moraes"/>
    <x v="1"/>
    <x v="131"/>
    <x v="1"/>
    <n v="5"/>
    <x v="0"/>
    <s v="No"/>
    <s v="-"/>
    <s v="No"/>
    <x v="1"/>
    <x v="4"/>
    <n v="4"/>
  </r>
  <r>
    <x v="133"/>
    <s v="Waldir Junior"/>
    <x v="0"/>
    <x v="132"/>
    <x v="0"/>
    <n v="15"/>
    <x v="2"/>
    <s v="Yes"/>
    <n v="30"/>
    <s v="Yes"/>
    <x v="0"/>
    <x v="10"/>
    <n v="58"/>
  </r>
  <r>
    <x v="134"/>
    <s v="Xavier Lopes"/>
    <x v="2"/>
    <x v="133"/>
    <x v="1"/>
    <n v="10"/>
    <x v="0"/>
    <s v="No"/>
    <s v="-"/>
    <s v="Yes"/>
    <x v="0"/>
    <x v="2"/>
    <n v="20"/>
  </r>
  <r>
    <x v="135"/>
    <s v="Yolanda Freitas"/>
    <x v="1"/>
    <x v="134"/>
    <x v="0"/>
    <n v="5"/>
    <x v="0"/>
    <s v="No"/>
    <s v="-"/>
    <s v="No"/>
    <x v="1"/>
    <x v="1"/>
    <n v="5"/>
  </r>
  <r>
    <x v="136"/>
    <s v="Zacarias Nunes"/>
    <x v="0"/>
    <x v="135"/>
    <x v="1"/>
    <n v="15"/>
    <x v="2"/>
    <s v="Yes"/>
    <n v="30"/>
    <s v="Yes"/>
    <x v="0"/>
    <x v="10"/>
    <n v="58"/>
  </r>
  <r>
    <x v="137"/>
    <s v="Ana Clara Barreto"/>
    <x v="2"/>
    <x v="136"/>
    <x v="0"/>
    <n v="10"/>
    <x v="1"/>
    <s v="No"/>
    <s v="-"/>
    <s v="Yes"/>
    <x v="0"/>
    <x v="2"/>
    <n v="20"/>
  </r>
  <r>
    <x v="138"/>
    <s v="Bruno Henrique"/>
    <x v="1"/>
    <x v="137"/>
    <x v="1"/>
    <n v="5"/>
    <x v="2"/>
    <s v="No"/>
    <s v="-"/>
    <s v="No"/>
    <x v="1"/>
    <x v="4"/>
    <n v="4"/>
  </r>
  <r>
    <x v="139"/>
    <s v="Carlos Eduardo"/>
    <x v="0"/>
    <x v="138"/>
    <x v="0"/>
    <n v="15"/>
    <x v="0"/>
    <s v="Yes"/>
    <n v="30"/>
    <s v="Yes"/>
    <x v="0"/>
    <x v="6"/>
    <n v="50"/>
  </r>
  <r>
    <x v="140"/>
    <s v="Débora Lima"/>
    <x v="2"/>
    <x v="139"/>
    <x v="1"/>
    <n v="10"/>
    <x v="0"/>
    <s v="No"/>
    <s v="-"/>
    <s v="Yes"/>
    <x v="0"/>
    <x v="0"/>
    <n v="25"/>
  </r>
  <r>
    <x v="141"/>
    <s v="Elisa Neves"/>
    <x v="1"/>
    <x v="140"/>
    <x v="0"/>
    <n v="5"/>
    <x v="1"/>
    <s v="No"/>
    <s v="-"/>
    <s v="No"/>
    <x v="1"/>
    <x v="1"/>
    <n v="5"/>
  </r>
  <r>
    <x v="142"/>
    <s v="Fabiano Gomes"/>
    <x v="0"/>
    <x v="141"/>
    <x v="1"/>
    <n v="15"/>
    <x v="2"/>
    <s v="Yes"/>
    <n v="30"/>
    <s v="Yes"/>
    <x v="0"/>
    <x v="7"/>
    <n v="45"/>
  </r>
  <r>
    <x v="143"/>
    <s v="Gisele Oliveira"/>
    <x v="2"/>
    <x v="142"/>
    <x v="0"/>
    <n v="10"/>
    <x v="2"/>
    <s v="No"/>
    <s v="-"/>
    <s v="Yes"/>
    <x v="0"/>
    <x v="9"/>
    <n v="18"/>
  </r>
  <r>
    <x v="144"/>
    <s v="Héctor Silva"/>
    <x v="1"/>
    <x v="143"/>
    <x v="1"/>
    <n v="5"/>
    <x v="0"/>
    <s v="No"/>
    <s v="-"/>
    <s v="No"/>
    <x v="1"/>
    <x v="5"/>
    <n v="3"/>
  </r>
  <r>
    <x v="145"/>
    <s v="Igor Martins"/>
    <x v="0"/>
    <x v="144"/>
    <x v="0"/>
    <n v="15"/>
    <x v="1"/>
    <s v="Yes"/>
    <n v="30"/>
    <s v="Yes"/>
    <x v="0"/>
    <x v="0"/>
    <n v="60"/>
  </r>
  <r>
    <x v="146"/>
    <s v="Joana Figueiredo"/>
    <x v="2"/>
    <x v="145"/>
    <x v="1"/>
    <n v="10"/>
    <x v="0"/>
    <s v="No"/>
    <s v="-"/>
    <s v="Yes"/>
    <x v="0"/>
    <x v="2"/>
    <n v="20"/>
  </r>
  <r>
    <x v="147"/>
    <s v="Kleber Machado"/>
    <x v="1"/>
    <x v="146"/>
    <x v="0"/>
    <n v="5"/>
    <x v="2"/>
    <s v="No"/>
    <s v="-"/>
    <s v="No"/>
    <x v="1"/>
    <x v="1"/>
    <n v="5"/>
  </r>
  <r>
    <x v="148"/>
    <s v="Luciana Santos"/>
    <x v="0"/>
    <x v="147"/>
    <x v="1"/>
    <n v="15"/>
    <x v="0"/>
    <s v="Yes"/>
    <n v="30"/>
    <s v="Yes"/>
    <x v="0"/>
    <x v="3"/>
    <n v="62"/>
  </r>
  <r>
    <x v="149"/>
    <s v="Marcos Teixeira"/>
    <x v="2"/>
    <x v="148"/>
    <x v="0"/>
    <n v="10"/>
    <x v="1"/>
    <s v="No"/>
    <s v="-"/>
    <s v="Yes"/>
    <x v="0"/>
    <x v="6"/>
    <n v="15"/>
  </r>
  <r>
    <x v="150"/>
    <s v="Natalia Costa"/>
    <x v="1"/>
    <x v="149"/>
    <x v="1"/>
    <n v="5"/>
    <x v="0"/>
    <s v="No"/>
    <s v="-"/>
    <s v="No"/>
    <x v="1"/>
    <x v="4"/>
    <n v="4"/>
  </r>
  <r>
    <x v="151"/>
    <s v="Oscar Ribeiro"/>
    <x v="0"/>
    <x v="150"/>
    <x v="0"/>
    <n v="15"/>
    <x v="2"/>
    <s v="Yes"/>
    <n v="30"/>
    <s v="Yes"/>
    <x v="0"/>
    <x v="10"/>
    <n v="58"/>
  </r>
  <r>
    <x v="152"/>
    <s v="Patricia Almeida"/>
    <x v="2"/>
    <x v="151"/>
    <x v="1"/>
    <n v="10"/>
    <x v="0"/>
    <s v="No"/>
    <s v="-"/>
    <s v="Yes"/>
    <x v="0"/>
    <x v="2"/>
    <n v="20"/>
  </r>
  <r>
    <x v="153"/>
    <s v="Quirino Junior"/>
    <x v="1"/>
    <x v="152"/>
    <x v="0"/>
    <n v="5"/>
    <x v="1"/>
    <s v="No"/>
    <s v="-"/>
    <s v="No"/>
    <x v="1"/>
    <x v="1"/>
    <n v="5"/>
  </r>
  <r>
    <x v="154"/>
    <s v="Renata Machado"/>
    <x v="0"/>
    <x v="153"/>
    <x v="1"/>
    <n v="15"/>
    <x v="0"/>
    <s v="Yes"/>
    <n v="30"/>
    <s v="Yes"/>
    <x v="0"/>
    <x v="7"/>
    <n v="45"/>
  </r>
  <r>
    <x v="155"/>
    <s v="Sônia Alves"/>
    <x v="2"/>
    <x v="154"/>
    <x v="0"/>
    <n v="10"/>
    <x v="2"/>
    <s v="No"/>
    <s v="-"/>
    <s v="Yes"/>
    <x v="0"/>
    <x v="6"/>
    <n v="15"/>
  </r>
  <r>
    <x v="156"/>
    <s v="Tiago Nunes"/>
    <x v="1"/>
    <x v="155"/>
    <x v="1"/>
    <n v="5"/>
    <x v="0"/>
    <s v="No"/>
    <s v="-"/>
    <s v="No"/>
    <x v="1"/>
    <x v="4"/>
    <n v="4"/>
  </r>
  <r>
    <x v="157"/>
    <s v="Ulysses Pereira"/>
    <x v="0"/>
    <x v="156"/>
    <x v="0"/>
    <n v="15"/>
    <x v="1"/>
    <s v="Yes"/>
    <n v="30"/>
    <s v="Yes"/>
    <x v="0"/>
    <x v="3"/>
    <n v="62"/>
  </r>
  <r>
    <x v="158"/>
    <s v="Vanessa Lima"/>
    <x v="2"/>
    <x v="157"/>
    <x v="1"/>
    <n v="10"/>
    <x v="0"/>
    <s v="No"/>
    <s v="-"/>
    <s v="Yes"/>
    <x v="0"/>
    <x v="2"/>
    <n v="20"/>
  </r>
  <r>
    <x v="159"/>
    <s v="Wagner Santos"/>
    <x v="1"/>
    <x v="158"/>
    <x v="0"/>
    <n v="5"/>
    <x v="2"/>
    <s v="No"/>
    <s v="-"/>
    <s v="No"/>
    <x v="1"/>
    <x v="1"/>
    <n v="5"/>
  </r>
  <r>
    <x v="160"/>
    <s v="Xuxa Meneghel"/>
    <x v="0"/>
    <x v="159"/>
    <x v="1"/>
    <n v="15"/>
    <x v="0"/>
    <s v="Yes"/>
    <n v="30"/>
    <s v="Yes"/>
    <x v="0"/>
    <x v="6"/>
    <n v="50"/>
  </r>
  <r>
    <x v="161"/>
    <s v="Yasmin Silva"/>
    <x v="2"/>
    <x v="160"/>
    <x v="0"/>
    <n v="10"/>
    <x v="1"/>
    <s v="No"/>
    <s v="-"/>
    <s v="Yes"/>
    <x v="0"/>
    <x v="6"/>
    <n v="15"/>
  </r>
  <r>
    <x v="162"/>
    <s v="Zacarias de Souza"/>
    <x v="1"/>
    <x v="161"/>
    <x v="1"/>
    <n v="5"/>
    <x v="0"/>
    <s v="No"/>
    <s v="-"/>
    <s v="No"/>
    <x v="1"/>
    <x v="4"/>
    <n v="4"/>
  </r>
  <r>
    <x v="163"/>
    <s v="André Lima"/>
    <x v="0"/>
    <x v="162"/>
    <x v="0"/>
    <n v="15"/>
    <x v="2"/>
    <s v="Yes"/>
    <n v="30"/>
    <s v="Yes"/>
    <x v="0"/>
    <x v="10"/>
    <n v="58"/>
  </r>
  <r>
    <x v="164"/>
    <s v="Bianca Freitas"/>
    <x v="2"/>
    <x v="163"/>
    <x v="1"/>
    <n v="10"/>
    <x v="0"/>
    <s v="No"/>
    <s v="-"/>
    <s v="Yes"/>
    <x v="0"/>
    <x v="2"/>
    <n v="20"/>
  </r>
  <r>
    <x v="165"/>
    <s v="Caio Mendes"/>
    <x v="1"/>
    <x v="164"/>
    <x v="0"/>
    <n v="5"/>
    <x v="1"/>
    <s v="No"/>
    <s v="-"/>
    <s v="No"/>
    <x v="1"/>
    <x v="1"/>
    <n v="5"/>
  </r>
  <r>
    <x v="166"/>
    <s v="Daniela Moura"/>
    <x v="0"/>
    <x v="165"/>
    <x v="1"/>
    <n v="15"/>
    <x v="0"/>
    <s v="Yes"/>
    <n v="30"/>
    <s v="Yes"/>
    <x v="0"/>
    <x v="7"/>
    <n v="45"/>
  </r>
  <r>
    <x v="167"/>
    <s v="Eduardo Costa"/>
    <x v="2"/>
    <x v="166"/>
    <x v="0"/>
    <n v="10"/>
    <x v="2"/>
    <s v="No"/>
    <s v="-"/>
    <s v="Yes"/>
    <x v="0"/>
    <x v="6"/>
    <n v="15"/>
  </r>
  <r>
    <x v="168"/>
    <s v="Fernanda Gomes"/>
    <x v="1"/>
    <x v="167"/>
    <x v="1"/>
    <n v="5"/>
    <x v="0"/>
    <s v="No"/>
    <s v="-"/>
    <s v="No"/>
    <x v="1"/>
    <x v="4"/>
    <n v="4"/>
  </r>
  <r>
    <x v="169"/>
    <s v="Guilherme Souza"/>
    <x v="0"/>
    <x v="168"/>
    <x v="0"/>
    <n v="15"/>
    <x v="1"/>
    <s v="Yes"/>
    <n v="30"/>
    <s v="Yes"/>
    <x v="0"/>
    <x v="0"/>
    <n v="60"/>
  </r>
  <r>
    <x v="170"/>
    <s v="Helena Ribeiro"/>
    <x v="2"/>
    <x v="169"/>
    <x v="1"/>
    <n v="10"/>
    <x v="0"/>
    <s v="No"/>
    <s v="-"/>
    <s v="Yes"/>
    <x v="0"/>
    <x v="2"/>
    <n v="20"/>
  </r>
  <r>
    <x v="171"/>
    <s v="Igor Santos"/>
    <x v="1"/>
    <x v="170"/>
    <x v="0"/>
    <n v="5"/>
    <x v="2"/>
    <s v="No"/>
    <s v="-"/>
    <s v="No"/>
    <x v="1"/>
    <x v="1"/>
    <n v="5"/>
  </r>
  <r>
    <x v="172"/>
    <s v="João Carvalho"/>
    <x v="0"/>
    <x v="171"/>
    <x v="1"/>
    <n v="15"/>
    <x v="0"/>
    <s v="Yes"/>
    <n v="30"/>
    <s v="Yes"/>
    <x v="0"/>
    <x v="3"/>
    <n v="62"/>
  </r>
  <r>
    <x v="173"/>
    <s v="Klara Fagundes"/>
    <x v="2"/>
    <x v="172"/>
    <x v="0"/>
    <n v="10"/>
    <x v="1"/>
    <s v="No"/>
    <s v="-"/>
    <s v="Yes"/>
    <x v="0"/>
    <x v="6"/>
    <n v="15"/>
  </r>
  <r>
    <x v="174"/>
    <s v="Lúcia Mendonça"/>
    <x v="1"/>
    <x v="173"/>
    <x v="1"/>
    <n v="5"/>
    <x v="0"/>
    <s v="No"/>
    <s v="-"/>
    <s v="No"/>
    <x v="1"/>
    <x v="4"/>
    <n v="4"/>
  </r>
  <r>
    <x v="175"/>
    <s v="Marcelo Novaes"/>
    <x v="1"/>
    <x v="174"/>
    <x v="0"/>
    <n v="5"/>
    <x v="0"/>
    <s v="No"/>
    <s v="-"/>
    <s v="No"/>
    <x v="1"/>
    <x v="1"/>
    <n v="5"/>
  </r>
  <r>
    <x v="176"/>
    <s v="Nina Pacheco"/>
    <x v="0"/>
    <x v="175"/>
    <x v="1"/>
    <n v="15"/>
    <x v="2"/>
    <s v="Yes"/>
    <n v="30"/>
    <s v="Yes"/>
    <x v="0"/>
    <x v="10"/>
    <n v="58"/>
  </r>
  <r>
    <x v="177"/>
    <s v="Olívia Rios"/>
    <x v="2"/>
    <x v="176"/>
    <x v="0"/>
    <n v="10"/>
    <x v="1"/>
    <s v="No"/>
    <s v="-"/>
    <s v="Yes"/>
    <x v="0"/>
    <x v="2"/>
    <n v="20"/>
  </r>
  <r>
    <x v="178"/>
    <s v="Paulo Quintana"/>
    <x v="1"/>
    <x v="177"/>
    <x v="1"/>
    <n v="5"/>
    <x v="2"/>
    <s v="No"/>
    <s v="-"/>
    <s v="No"/>
    <x v="1"/>
    <x v="4"/>
    <n v="4"/>
  </r>
  <r>
    <x v="179"/>
    <s v="Raquel Domingos"/>
    <x v="0"/>
    <x v="178"/>
    <x v="0"/>
    <n v="15"/>
    <x v="0"/>
    <s v="Yes"/>
    <n v="30"/>
    <s v="Yes"/>
    <x v="0"/>
    <x v="6"/>
    <n v="50"/>
  </r>
  <r>
    <x v="180"/>
    <s v="Samuel Viana"/>
    <x v="2"/>
    <x v="179"/>
    <x v="1"/>
    <n v="10"/>
    <x v="0"/>
    <s v="No"/>
    <s v="-"/>
    <s v="Yes"/>
    <x v="0"/>
    <x v="0"/>
    <n v="25"/>
  </r>
  <r>
    <x v="181"/>
    <s v="Tatiane Rocha"/>
    <x v="1"/>
    <x v="180"/>
    <x v="0"/>
    <n v="5"/>
    <x v="1"/>
    <s v="No"/>
    <s v="-"/>
    <s v="No"/>
    <x v="1"/>
    <x v="1"/>
    <n v="5"/>
  </r>
  <r>
    <x v="182"/>
    <s v="Ulysses Farias"/>
    <x v="0"/>
    <x v="181"/>
    <x v="1"/>
    <n v="15"/>
    <x v="2"/>
    <s v="Yes"/>
    <n v="30"/>
    <s v="Yes"/>
    <x v="0"/>
    <x v="7"/>
    <n v="45"/>
  </r>
  <r>
    <x v="183"/>
    <s v="Vanessa Moreira"/>
    <x v="2"/>
    <x v="182"/>
    <x v="0"/>
    <n v="10"/>
    <x v="2"/>
    <s v="No"/>
    <s v="-"/>
    <s v="Yes"/>
    <x v="0"/>
    <x v="9"/>
    <n v="18"/>
  </r>
  <r>
    <x v="184"/>
    <s v="William Carvalho"/>
    <x v="1"/>
    <x v="183"/>
    <x v="1"/>
    <n v="5"/>
    <x v="0"/>
    <s v="No"/>
    <s v="-"/>
    <s v="No"/>
    <x v="1"/>
    <x v="5"/>
    <n v="3"/>
  </r>
  <r>
    <x v="185"/>
    <s v="Ximena Barros"/>
    <x v="0"/>
    <x v="184"/>
    <x v="0"/>
    <n v="15"/>
    <x v="1"/>
    <s v="Yes"/>
    <n v="30"/>
    <s v="Yes"/>
    <x v="0"/>
    <x v="0"/>
    <n v="60"/>
  </r>
  <r>
    <x v="186"/>
    <s v="Yara Machado"/>
    <x v="2"/>
    <x v="185"/>
    <x v="1"/>
    <n v="10"/>
    <x v="0"/>
    <s v="No"/>
    <s v="-"/>
    <s v="Yes"/>
    <x v="0"/>
    <x v="2"/>
    <n v="20"/>
  </r>
  <r>
    <x v="187"/>
    <s v="Zacarias Costa"/>
    <x v="1"/>
    <x v="186"/>
    <x v="0"/>
    <n v="5"/>
    <x v="2"/>
    <s v="No"/>
    <s v="-"/>
    <s v="No"/>
    <x v="1"/>
    <x v="1"/>
    <n v="5"/>
  </r>
  <r>
    <x v="188"/>
    <s v="André Lopes"/>
    <x v="0"/>
    <x v="187"/>
    <x v="1"/>
    <n v="15"/>
    <x v="0"/>
    <s v="Yes"/>
    <n v="30"/>
    <s v="Yes"/>
    <x v="0"/>
    <x v="3"/>
    <n v="62"/>
  </r>
  <r>
    <x v="189"/>
    <s v="Beatriz Souza"/>
    <x v="2"/>
    <x v="188"/>
    <x v="0"/>
    <n v="10"/>
    <x v="1"/>
    <s v="No"/>
    <s v="-"/>
    <s v="Yes"/>
    <x v="0"/>
    <x v="6"/>
    <n v="15"/>
  </r>
  <r>
    <x v="190"/>
    <s v="Caio Pereira"/>
    <x v="1"/>
    <x v="189"/>
    <x v="1"/>
    <n v="5"/>
    <x v="0"/>
    <s v="No"/>
    <s v="-"/>
    <s v="No"/>
    <x v="1"/>
    <x v="4"/>
    <n v="4"/>
  </r>
  <r>
    <x v="191"/>
    <s v="Daniela Araújo"/>
    <x v="0"/>
    <x v="190"/>
    <x v="0"/>
    <n v="15"/>
    <x v="2"/>
    <s v="Yes"/>
    <n v="30"/>
    <s v="Yes"/>
    <x v="0"/>
    <x v="10"/>
    <n v="58"/>
  </r>
  <r>
    <x v="192"/>
    <s v="Eduardo Santos"/>
    <x v="2"/>
    <x v="191"/>
    <x v="1"/>
    <n v="10"/>
    <x v="0"/>
    <s v="No"/>
    <s v="-"/>
    <s v="Yes"/>
    <x v="0"/>
    <x v="2"/>
    <n v="20"/>
  </r>
  <r>
    <x v="193"/>
    <s v="Fernanda Lima"/>
    <x v="1"/>
    <x v="192"/>
    <x v="0"/>
    <n v="5"/>
    <x v="1"/>
    <s v="No"/>
    <s v="-"/>
    <s v="No"/>
    <x v="1"/>
    <x v="1"/>
    <n v="5"/>
  </r>
  <r>
    <x v="194"/>
    <s v="Gabriel Teixeira"/>
    <x v="0"/>
    <x v="193"/>
    <x v="1"/>
    <n v="15"/>
    <x v="0"/>
    <s v="Yes"/>
    <n v="30"/>
    <s v="Yes"/>
    <x v="0"/>
    <x v="7"/>
    <n v="45"/>
  </r>
  <r>
    <x v="195"/>
    <s v="Helena Ribeiro"/>
    <x v="2"/>
    <x v="194"/>
    <x v="0"/>
    <n v="10"/>
    <x v="2"/>
    <s v="No"/>
    <s v="-"/>
    <s v="Yes"/>
    <x v="0"/>
    <x v="6"/>
    <n v="15"/>
  </r>
  <r>
    <x v="196"/>
    <s v="Igor Mendes"/>
    <x v="1"/>
    <x v="195"/>
    <x v="1"/>
    <n v="5"/>
    <x v="0"/>
    <s v="No"/>
    <s v="-"/>
    <s v="No"/>
    <x v="1"/>
    <x v="4"/>
    <n v="4"/>
  </r>
  <r>
    <x v="197"/>
    <s v="Joana Silveira"/>
    <x v="0"/>
    <x v="196"/>
    <x v="0"/>
    <n v="15"/>
    <x v="1"/>
    <s v="Yes"/>
    <n v="30"/>
    <s v="Yes"/>
    <x v="0"/>
    <x v="3"/>
    <n v="62"/>
  </r>
  <r>
    <x v="198"/>
    <s v="Lucas Martins"/>
    <x v="2"/>
    <x v="197"/>
    <x v="1"/>
    <n v="10"/>
    <x v="0"/>
    <s v="No"/>
    <s v="-"/>
    <s v="Yes"/>
    <x v="0"/>
    <x v="2"/>
    <n v="20"/>
  </r>
  <r>
    <x v="199"/>
    <s v="Marcela Gouveia"/>
    <x v="1"/>
    <x v="198"/>
    <x v="0"/>
    <n v="5"/>
    <x v="2"/>
    <s v="No"/>
    <s v="-"/>
    <s v="No"/>
    <x v="1"/>
    <x v="1"/>
    <n v="5"/>
  </r>
  <r>
    <x v="200"/>
    <s v="Nicolas Borges"/>
    <x v="0"/>
    <x v="199"/>
    <x v="1"/>
    <n v="15"/>
    <x v="0"/>
    <s v="Yes"/>
    <n v="30"/>
    <s v="Yes"/>
    <x v="0"/>
    <x v="6"/>
    <n v="50"/>
  </r>
  <r>
    <x v="201"/>
    <s v="Olivia Freitas"/>
    <x v="2"/>
    <x v="200"/>
    <x v="0"/>
    <n v="10"/>
    <x v="1"/>
    <s v="No"/>
    <s v="-"/>
    <s v="Yes"/>
    <x v="0"/>
    <x v="6"/>
    <n v="15"/>
  </r>
  <r>
    <x v="202"/>
    <s v="Paulo Nogueira"/>
    <x v="1"/>
    <x v="201"/>
    <x v="1"/>
    <n v="5"/>
    <x v="0"/>
    <s v="No"/>
    <s v="-"/>
    <s v="No"/>
    <x v="1"/>
    <x v="4"/>
    <n v="4"/>
  </r>
  <r>
    <x v="203"/>
    <s v="Raquel Andrade"/>
    <x v="0"/>
    <x v="202"/>
    <x v="0"/>
    <n v="15"/>
    <x v="2"/>
    <s v="Yes"/>
    <n v="30"/>
    <s v="Yes"/>
    <x v="0"/>
    <x v="10"/>
    <n v="58"/>
  </r>
  <r>
    <x v="204"/>
    <s v="Sônia Carvalho"/>
    <x v="2"/>
    <x v="203"/>
    <x v="1"/>
    <n v="10"/>
    <x v="0"/>
    <s v="No"/>
    <s v="-"/>
    <s v="Yes"/>
    <x v="0"/>
    <x v="2"/>
    <n v="20"/>
  </r>
  <r>
    <x v="205"/>
    <s v="Tiago Rodrigues"/>
    <x v="1"/>
    <x v="204"/>
    <x v="0"/>
    <n v="5"/>
    <x v="0"/>
    <s v="No"/>
    <s v="-"/>
    <s v="No"/>
    <x v="1"/>
    <x v="1"/>
    <n v="5"/>
  </r>
  <r>
    <x v="206"/>
    <s v="Ursula Monteiro"/>
    <x v="0"/>
    <x v="205"/>
    <x v="1"/>
    <n v="15"/>
    <x v="2"/>
    <s v="Yes"/>
    <n v="30"/>
    <s v="Yes"/>
    <x v="0"/>
    <x v="10"/>
    <n v="58"/>
  </r>
  <r>
    <x v="207"/>
    <s v="Vanessa Pereira"/>
    <x v="2"/>
    <x v="206"/>
    <x v="0"/>
    <n v="10"/>
    <x v="1"/>
    <s v="No"/>
    <s v="-"/>
    <s v="Yes"/>
    <x v="0"/>
    <x v="2"/>
    <n v="20"/>
  </r>
  <r>
    <x v="208"/>
    <s v="Walter Silva"/>
    <x v="1"/>
    <x v="207"/>
    <x v="1"/>
    <n v="5"/>
    <x v="2"/>
    <s v="No"/>
    <s v="-"/>
    <s v="No"/>
    <x v="1"/>
    <x v="4"/>
    <n v="4"/>
  </r>
  <r>
    <x v="209"/>
    <s v="Xavier Almeida"/>
    <x v="0"/>
    <x v="208"/>
    <x v="0"/>
    <n v="15"/>
    <x v="0"/>
    <s v="Yes"/>
    <n v="30"/>
    <s v="Yes"/>
    <x v="0"/>
    <x v="6"/>
    <n v="50"/>
  </r>
  <r>
    <x v="210"/>
    <s v="Yasmine Correia"/>
    <x v="2"/>
    <x v="209"/>
    <x v="1"/>
    <n v="10"/>
    <x v="0"/>
    <s v="No"/>
    <s v="-"/>
    <s v="Yes"/>
    <x v="0"/>
    <x v="0"/>
    <n v="25"/>
  </r>
  <r>
    <x v="211"/>
    <s v="Zacarias Almeida"/>
    <x v="1"/>
    <x v="210"/>
    <x v="0"/>
    <n v="5"/>
    <x v="1"/>
    <s v="No"/>
    <s v="-"/>
    <s v="No"/>
    <x v="1"/>
    <x v="1"/>
    <n v="5"/>
  </r>
  <r>
    <x v="212"/>
    <s v="Amanda Costa"/>
    <x v="0"/>
    <x v="211"/>
    <x v="1"/>
    <n v="15"/>
    <x v="2"/>
    <s v="Yes"/>
    <n v="30"/>
    <s v="Yes"/>
    <x v="0"/>
    <x v="7"/>
    <n v="45"/>
  </r>
  <r>
    <x v="213"/>
    <s v="Bruno Ferreira"/>
    <x v="2"/>
    <x v="212"/>
    <x v="0"/>
    <n v="10"/>
    <x v="2"/>
    <s v="No"/>
    <s v="-"/>
    <s v="Yes"/>
    <x v="0"/>
    <x v="9"/>
    <n v="18"/>
  </r>
  <r>
    <x v="214"/>
    <s v="Carla Dias"/>
    <x v="1"/>
    <x v="213"/>
    <x v="1"/>
    <n v="5"/>
    <x v="0"/>
    <s v="No"/>
    <s v="-"/>
    <s v="No"/>
    <x v="1"/>
    <x v="5"/>
    <n v="3"/>
  </r>
  <r>
    <x v="215"/>
    <s v="Diogo Martins"/>
    <x v="0"/>
    <x v="214"/>
    <x v="0"/>
    <n v="15"/>
    <x v="1"/>
    <s v="Yes"/>
    <n v="30"/>
    <s v="Yes"/>
    <x v="0"/>
    <x v="0"/>
    <n v="60"/>
  </r>
  <r>
    <x v="216"/>
    <s v="Elisa Campos"/>
    <x v="2"/>
    <x v="215"/>
    <x v="1"/>
    <n v="10"/>
    <x v="0"/>
    <s v="No"/>
    <s v="-"/>
    <s v="Yes"/>
    <x v="0"/>
    <x v="2"/>
    <n v="20"/>
  </r>
  <r>
    <x v="217"/>
    <s v="Fabiana Lima"/>
    <x v="1"/>
    <x v="216"/>
    <x v="0"/>
    <n v="5"/>
    <x v="2"/>
    <s v="No"/>
    <s v="-"/>
    <s v="No"/>
    <x v="1"/>
    <x v="1"/>
    <n v="5"/>
  </r>
  <r>
    <x v="218"/>
    <s v="Gabriel Santos"/>
    <x v="0"/>
    <x v="217"/>
    <x v="1"/>
    <n v="15"/>
    <x v="0"/>
    <s v="Yes"/>
    <n v="30"/>
    <s v="Yes"/>
    <x v="0"/>
    <x v="3"/>
    <n v="62"/>
  </r>
  <r>
    <x v="219"/>
    <s v="Helena Ferreira"/>
    <x v="2"/>
    <x v="218"/>
    <x v="0"/>
    <n v="10"/>
    <x v="1"/>
    <s v="No"/>
    <s v="-"/>
    <s v="Yes"/>
    <x v="0"/>
    <x v="6"/>
    <n v="15"/>
  </r>
  <r>
    <x v="220"/>
    <s v="Ígor Nunes"/>
    <x v="1"/>
    <x v="219"/>
    <x v="1"/>
    <n v="5"/>
    <x v="0"/>
    <s v="No"/>
    <s v="-"/>
    <s v="No"/>
    <x v="1"/>
    <x v="4"/>
    <n v="4"/>
  </r>
  <r>
    <x v="221"/>
    <s v="Joana Silveira"/>
    <x v="0"/>
    <x v="220"/>
    <x v="0"/>
    <n v="15"/>
    <x v="2"/>
    <s v="Yes"/>
    <n v="30"/>
    <s v="Yes"/>
    <x v="0"/>
    <x v="10"/>
    <n v="58"/>
  </r>
  <r>
    <x v="222"/>
    <s v="Kléber Oliveira"/>
    <x v="2"/>
    <x v="221"/>
    <x v="1"/>
    <n v="10"/>
    <x v="0"/>
    <s v="No"/>
    <s v="-"/>
    <s v="Yes"/>
    <x v="0"/>
    <x v="2"/>
    <n v="20"/>
  </r>
  <r>
    <x v="223"/>
    <s v="Luciana Morais"/>
    <x v="1"/>
    <x v="222"/>
    <x v="0"/>
    <n v="5"/>
    <x v="1"/>
    <s v="No"/>
    <s v="-"/>
    <s v="No"/>
    <x v="1"/>
    <x v="1"/>
    <n v="5"/>
  </r>
  <r>
    <x v="224"/>
    <s v="Marcos Vinícius"/>
    <x v="0"/>
    <x v="223"/>
    <x v="1"/>
    <n v="15"/>
    <x v="0"/>
    <s v="Yes"/>
    <n v="30"/>
    <s v="Yes"/>
    <x v="0"/>
    <x v="7"/>
    <n v="45"/>
  </r>
  <r>
    <x v="225"/>
    <s v="Natália Barros"/>
    <x v="2"/>
    <x v="224"/>
    <x v="0"/>
    <n v="10"/>
    <x v="2"/>
    <s v="No"/>
    <s v="-"/>
    <s v="Yes"/>
    <x v="0"/>
    <x v="6"/>
    <n v="15"/>
  </r>
  <r>
    <x v="226"/>
    <s v="Oscar Sampaio"/>
    <x v="1"/>
    <x v="225"/>
    <x v="1"/>
    <n v="5"/>
    <x v="0"/>
    <s v="No"/>
    <s v="-"/>
    <s v="No"/>
    <x v="1"/>
    <x v="4"/>
    <n v="4"/>
  </r>
  <r>
    <x v="227"/>
    <s v="Patrícia Leite"/>
    <x v="0"/>
    <x v="226"/>
    <x v="0"/>
    <n v="15"/>
    <x v="1"/>
    <s v="Yes"/>
    <n v="30"/>
    <s v="Yes"/>
    <x v="0"/>
    <x v="3"/>
    <n v="62"/>
  </r>
  <r>
    <x v="228"/>
    <s v="Quênia Rocha"/>
    <x v="2"/>
    <x v="227"/>
    <x v="1"/>
    <n v="10"/>
    <x v="0"/>
    <s v="No"/>
    <s v="-"/>
    <s v="Yes"/>
    <x v="0"/>
    <x v="2"/>
    <n v="20"/>
  </r>
  <r>
    <x v="229"/>
    <s v="Rafael Torres"/>
    <x v="1"/>
    <x v="228"/>
    <x v="0"/>
    <n v="5"/>
    <x v="2"/>
    <s v="No"/>
    <s v="-"/>
    <s v="No"/>
    <x v="1"/>
    <x v="1"/>
    <n v="5"/>
  </r>
  <r>
    <x v="230"/>
    <s v="Sandra Gouveia"/>
    <x v="0"/>
    <x v="229"/>
    <x v="1"/>
    <n v="15"/>
    <x v="0"/>
    <s v="Yes"/>
    <n v="30"/>
    <s v="Yes"/>
    <x v="0"/>
    <x v="6"/>
    <n v="50"/>
  </r>
  <r>
    <x v="231"/>
    <s v="Tiago Lacerda"/>
    <x v="2"/>
    <x v="230"/>
    <x v="0"/>
    <n v="10"/>
    <x v="1"/>
    <s v="No"/>
    <s v="-"/>
    <s v="Yes"/>
    <x v="0"/>
    <x v="6"/>
    <n v="15"/>
  </r>
  <r>
    <x v="232"/>
    <s v="Ursula Fonseca"/>
    <x v="1"/>
    <x v="231"/>
    <x v="1"/>
    <n v="5"/>
    <x v="0"/>
    <s v="No"/>
    <s v="-"/>
    <s v="No"/>
    <x v="1"/>
    <x v="4"/>
    <n v="4"/>
  </r>
  <r>
    <x v="233"/>
    <s v="Vanessa Andrade"/>
    <x v="0"/>
    <x v="232"/>
    <x v="0"/>
    <n v="15"/>
    <x v="2"/>
    <s v="Yes"/>
    <n v="30"/>
    <s v="Yes"/>
    <x v="0"/>
    <x v="10"/>
    <n v="58"/>
  </r>
  <r>
    <x v="234"/>
    <s v="William Castro"/>
    <x v="2"/>
    <x v="233"/>
    <x v="1"/>
    <n v="10"/>
    <x v="0"/>
    <s v="No"/>
    <s v="-"/>
    <s v="Yes"/>
    <x v="0"/>
    <x v="2"/>
    <n v="20"/>
  </r>
  <r>
    <x v="235"/>
    <s v="Xavier Monteiro"/>
    <x v="1"/>
    <x v="234"/>
    <x v="0"/>
    <n v="5"/>
    <x v="1"/>
    <s v="No"/>
    <s v="-"/>
    <s v="No"/>
    <x v="1"/>
    <x v="1"/>
    <n v="5"/>
  </r>
  <r>
    <x v="236"/>
    <s v="Yasmin Figueira"/>
    <x v="0"/>
    <x v="235"/>
    <x v="1"/>
    <n v="15"/>
    <x v="0"/>
    <s v="Yes"/>
    <n v="30"/>
    <s v="Yes"/>
    <x v="0"/>
    <x v="6"/>
    <n v="50"/>
  </r>
  <r>
    <x v="237"/>
    <s v="Zacarias Mendonça"/>
    <x v="2"/>
    <x v="236"/>
    <x v="0"/>
    <n v="10"/>
    <x v="2"/>
    <s v="No"/>
    <s v="-"/>
    <s v="Yes"/>
    <x v="0"/>
    <x v="9"/>
    <n v="18"/>
  </r>
  <r>
    <x v="238"/>
    <s v="Amanda Menezes"/>
    <x v="1"/>
    <x v="237"/>
    <x v="1"/>
    <n v="5"/>
    <x v="0"/>
    <s v="No"/>
    <s v="-"/>
    <s v="No"/>
    <x v="1"/>
    <x v="5"/>
    <n v="3"/>
  </r>
  <r>
    <x v="239"/>
    <s v="Bruno Santos"/>
    <x v="0"/>
    <x v="238"/>
    <x v="0"/>
    <n v="15"/>
    <x v="1"/>
    <s v="Yes"/>
    <n v="30"/>
    <s v="Yes"/>
    <x v="0"/>
    <x v="0"/>
    <n v="60"/>
  </r>
  <r>
    <x v="240"/>
    <s v="Carla Ferreira"/>
    <x v="2"/>
    <x v="239"/>
    <x v="1"/>
    <n v="10"/>
    <x v="0"/>
    <s v="No"/>
    <s v="-"/>
    <s v="Yes"/>
    <x v="0"/>
    <x v="2"/>
    <n v="20"/>
  </r>
  <r>
    <x v="241"/>
    <s v="Diogo Alves"/>
    <x v="1"/>
    <x v="240"/>
    <x v="0"/>
    <n v="5"/>
    <x v="2"/>
    <s v="No"/>
    <s v="-"/>
    <s v="No"/>
    <x v="1"/>
    <x v="1"/>
    <n v="5"/>
  </r>
  <r>
    <x v="242"/>
    <s v="Elisa Neves"/>
    <x v="0"/>
    <x v="241"/>
    <x v="1"/>
    <n v="15"/>
    <x v="0"/>
    <s v="Yes"/>
    <n v="30"/>
    <s v="Yes"/>
    <x v="0"/>
    <x v="3"/>
    <n v="62"/>
  </r>
  <r>
    <x v="243"/>
    <s v="Fabiano Pires"/>
    <x v="2"/>
    <x v="242"/>
    <x v="0"/>
    <n v="10"/>
    <x v="1"/>
    <s v="No"/>
    <s v="-"/>
    <s v="Yes"/>
    <x v="0"/>
    <x v="6"/>
    <n v="15"/>
  </r>
  <r>
    <x v="244"/>
    <s v="Giovana Ribeiro"/>
    <x v="1"/>
    <x v="243"/>
    <x v="1"/>
    <n v="5"/>
    <x v="0"/>
    <s v="No"/>
    <s v="-"/>
    <s v="No"/>
    <x v="1"/>
    <x v="4"/>
    <n v="4"/>
  </r>
  <r>
    <x v="245"/>
    <s v="Hélio Costa"/>
    <x v="0"/>
    <x v="244"/>
    <x v="0"/>
    <n v="15"/>
    <x v="2"/>
    <s v="Yes"/>
    <n v="30"/>
    <s v="Yes"/>
    <x v="0"/>
    <x v="10"/>
    <n v="58"/>
  </r>
  <r>
    <x v="246"/>
    <s v="Íris Loureiro"/>
    <x v="2"/>
    <x v="245"/>
    <x v="1"/>
    <n v="10"/>
    <x v="0"/>
    <s v="No"/>
    <s v="-"/>
    <s v="Yes"/>
    <x v="0"/>
    <x v="2"/>
    <n v="20"/>
  </r>
  <r>
    <x v="247"/>
    <s v="João Pereira"/>
    <x v="1"/>
    <x v="246"/>
    <x v="0"/>
    <n v="5"/>
    <x v="1"/>
    <s v="No"/>
    <s v="-"/>
    <s v="No"/>
    <x v="1"/>
    <x v="1"/>
    <n v="5"/>
  </r>
  <r>
    <x v="248"/>
    <s v="Klara Silva"/>
    <x v="0"/>
    <x v="247"/>
    <x v="1"/>
    <n v="15"/>
    <x v="0"/>
    <s v="Yes"/>
    <n v="30"/>
    <s v="Yes"/>
    <x v="0"/>
    <x v="7"/>
    <n v="45"/>
  </r>
  <r>
    <x v="249"/>
    <s v="Luciana Barros"/>
    <x v="2"/>
    <x v="248"/>
    <x v="0"/>
    <n v="10"/>
    <x v="2"/>
    <s v="No"/>
    <s v="-"/>
    <s v="Yes"/>
    <x v="0"/>
    <x v="6"/>
    <n v="15"/>
  </r>
  <r>
    <x v="250"/>
    <s v="Marcos Gomes"/>
    <x v="1"/>
    <x v="249"/>
    <x v="1"/>
    <n v="5"/>
    <x v="0"/>
    <s v="No"/>
    <s v="-"/>
    <s v="No"/>
    <x v="1"/>
    <x v="4"/>
    <n v="4"/>
  </r>
  <r>
    <x v="251"/>
    <s v="Natália Soares"/>
    <x v="0"/>
    <x v="250"/>
    <x v="0"/>
    <n v="15"/>
    <x v="1"/>
    <s v="Yes"/>
    <n v="30"/>
    <s v="Yes"/>
    <x v="0"/>
    <x v="3"/>
    <n v="62"/>
  </r>
  <r>
    <x v="252"/>
    <s v="Oscar Machado"/>
    <x v="2"/>
    <x v="251"/>
    <x v="1"/>
    <n v="10"/>
    <x v="0"/>
    <s v="No"/>
    <s v="-"/>
    <s v="Yes"/>
    <x v="0"/>
    <x v="2"/>
    <n v="20"/>
  </r>
  <r>
    <x v="253"/>
    <s v="Patrícia Lima"/>
    <x v="1"/>
    <x v="252"/>
    <x v="0"/>
    <n v="5"/>
    <x v="2"/>
    <s v="No"/>
    <s v="-"/>
    <s v="No"/>
    <x v="1"/>
    <x v="1"/>
    <n v="5"/>
  </r>
  <r>
    <x v="254"/>
    <s v="Quirino Neto"/>
    <x v="0"/>
    <x v="253"/>
    <x v="1"/>
    <n v="15"/>
    <x v="0"/>
    <s v="Yes"/>
    <n v="30"/>
    <s v="Yes"/>
    <x v="0"/>
    <x v="6"/>
    <n v="50"/>
  </r>
  <r>
    <x v="255"/>
    <s v="Rafaela Souza"/>
    <x v="1"/>
    <x v="254"/>
    <x v="0"/>
    <n v="5"/>
    <x v="0"/>
    <s v="No"/>
    <s v="-"/>
    <s v="No"/>
    <x v="1"/>
    <x v="1"/>
    <n v="5"/>
  </r>
  <r>
    <x v="256"/>
    <s v="Sandro Almeida"/>
    <x v="0"/>
    <x v="255"/>
    <x v="1"/>
    <n v="15"/>
    <x v="2"/>
    <s v="Yes"/>
    <n v="30"/>
    <s v="Yes"/>
    <x v="0"/>
    <x v="10"/>
    <n v="58"/>
  </r>
  <r>
    <x v="257"/>
    <s v="Tânia Ribeiro"/>
    <x v="2"/>
    <x v="256"/>
    <x v="0"/>
    <n v="10"/>
    <x v="1"/>
    <s v="No"/>
    <s v="-"/>
    <s v="Yes"/>
    <x v="0"/>
    <x v="2"/>
    <n v="20"/>
  </r>
  <r>
    <x v="258"/>
    <s v="Ugo Dias"/>
    <x v="1"/>
    <x v="257"/>
    <x v="1"/>
    <n v="5"/>
    <x v="2"/>
    <s v="No"/>
    <s v="-"/>
    <s v="No"/>
    <x v="1"/>
    <x v="4"/>
    <n v="4"/>
  </r>
  <r>
    <x v="259"/>
    <s v="Valéria Lima"/>
    <x v="0"/>
    <x v="258"/>
    <x v="0"/>
    <n v="15"/>
    <x v="0"/>
    <s v="Yes"/>
    <n v="30"/>
    <s v="Yes"/>
    <x v="0"/>
    <x v="6"/>
    <n v="50"/>
  </r>
  <r>
    <x v="260"/>
    <s v="William Fernandes"/>
    <x v="2"/>
    <x v="259"/>
    <x v="1"/>
    <n v="10"/>
    <x v="0"/>
    <s v="No"/>
    <s v="-"/>
    <s v="Yes"/>
    <x v="0"/>
    <x v="0"/>
    <n v="25"/>
  </r>
  <r>
    <x v="261"/>
    <s v="Xuxa Mendes"/>
    <x v="1"/>
    <x v="260"/>
    <x v="0"/>
    <n v="5"/>
    <x v="1"/>
    <s v="No"/>
    <s v="-"/>
    <s v="No"/>
    <x v="1"/>
    <x v="1"/>
    <n v="5"/>
  </r>
  <r>
    <x v="262"/>
    <s v="Ygor Farias"/>
    <x v="0"/>
    <x v="261"/>
    <x v="1"/>
    <n v="15"/>
    <x v="2"/>
    <s v="Yes"/>
    <n v="30"/>
    <s v="Yes"/>
    <x v="0"/>
    <x v="7"/>
    <n v="45"/>
  </r>
  <r>
    <x v="263"/>
    <s v="Zilda Barros"/>
    <x v="2"/>
    <x v="262"/>
    <x v="0"/>
    <n v="10"/>
    <x v="2"/>
    <s v="No"/>
    <s v="-"/>
    <s v="Yes"/>
    <x v="0"/>
    <x v="9"/>
    <n v="18"/>
  </r>
  <r>
    <x v="264"/>
    <s v="Amanda Santos"/>
    <x v="1"/>
    <x v="263"/>
    <x v="1"/>
    <n v="5"/>
    <x v="0"/>
    <s v="No"/>
    <s v="-"/>
    <s v="No"/>
    <x v="1"/>
    <x v="5"/>
    <n v="3"/>
  </r>
  <r>
    <x v="265"/>
    <s v="Bruno Costa"/>
    <x v="0"/>
    <x v="264"/>
    <x v="0"/>
    <n v="15"/>
    <x v="1"/>
    <s v="Yes"/>
    <n v="30"/>
    <s v="Yes"/>
    <x v="0"/>
    <x v="0"/>
    <n v="60"/>
  </r>
  <r>
    <x v="266"/>
    <s v="Carla Rodrigues"/>
    <x v="2"/>
    <x v="265"/>
    <x v="1"/>
    <n v="10"/>
    <x v="0"/>
    <s v="No"/>
    <s v="-"/>
    <s v="Yes"/>
    <x v="0"/>
    <x v="2"/>
    <n v="20"/>
  </r>
  <r>
    <x v="267"/>
    <s v="Diogo Pereira"/>
    <x v="1"/>
    <x v="266"/>
    <x v="0"/>
    <n v="5"/>
    <x v="2"/>
    <s v="No"/>
    <s v="-"/>
    <s v="No"/>
    <x v="1"/>
    <x v="1"/>
    <n v="5"/>
  </r>
  <r>
    <x v="268"/>
    <s v="Elisa Correia"/>
    <x v="0"/>
    <x v="267"/>
    <x v="1"/>
    <n v="15"/>
    <x v="0"/>
    <s v="Yes"/>
    <n v="30"/>
    <s v="Yes"/>
    <x v="0"/>
    <x v="3"/>
    <n v="62"/>
  </r>
  <r>
    <x v="269"/>
    <s v="Fábio Lourenço"/>
    <x v="2"/>
    <x v="268"/>
    <x v="0"/>
    <n v="10"/>
    <x v="1"/>
    <s v="No"/>
    <s v="-"/>
    <s v="Yes"/>
    <x v="0"/>
    <x v="6"/>
    <n v="15"/>
  </r>
  <r>
    <x v="270"/>
    <s v="Gabriela Neves"/>
    <x v="1"/>
    <x v="269"/>
    <x v="1"/>
    <n v="5"/>
    <x v="0"/>
    <s v="No"/>
    <s v="-"/>
    <s v="No"/>
    <x v="1"/>
    <x v="4"/>
    <n v="4"/>
  </r>
  <r>
    <x v="271"/>
    <s v="Henrique Gonçalves"/>
    <x v="0"/>
    <x v="270"/>
    <x v="0"/>
    <n v="15"/>
    <x v="2"/>
    <s v="Yes"/>
    <n v="30"/>
    <s v="Yes"/>
    <x v="0"/>
    <x v="10"/>
    <n v="58"/>
  </r>
  <r>
    <x v="272"/>
    <s v="Íris Santos"/>
    <x v="2"/>
    <x v="271"/>
    <x v="1"/>
    <n v="10"/>
    <x v="0"/>
    <s v="No"/>
    <s v="-"/>
    <s v="Yes"/>
    <x v="0"/>
    <x v="2"/>
    <n v="20"/>
  </r>
  <r>
    <x v="273"/>
    <s v="João Marcelo Alves"/>
    <x v="1"/>
    <x v="272"/>
    <x v="0"/>
    <n v="5"/>
    <x v="1"/>
    <s v="No"/>
    <s v="-"/>
    <s v="No"/>
    <x v="1"/>
    <x v="1"/>
    <n v="5"/>
  </r>
  <r>
    <x v="274"/>
    <s v="Klara Fonseca"/>
    <x v="0"/>
    <x v="273"/>
    <x v="1"/>
    <n v="15"/>
    <x v="0"/>
    <s v="Yes"/>
    <n v="30"/>
    <s v="Yes"/>
    <x v="0"/>
    <x v="7"/>
    <n v="45"/>
  </r>
  <r>
    <x v="275"/>
    <s v="Lucas Mendonça"/>
    <x v="2"/>
    <x v="274"/>
    <x v="0"/>
    <n v="10"/>
    <x v="2"/>
    <s v="No"/>
    <s v="-"/>
    <s v="Yes"/>
    <x v="0"/>
    <x v="6"/>
    <n v="15"/>
  </r>
  <r>
    <x v="276"/>
    <s v="Marcela Torres"/>
    <x v="1"/>
    <x v="275"/>
    <x v="1"/>
    <n v="5"/>
    <x v="0"/>
    <s v="No"/>
    <s v="-"/>
    <s v="No"/>
    <x v="1"/>
    <x v="4"/>
    <n v="4"/>
  </r>
  <r>
    <x v="277"/>
    <s v="Natália Castro"/>
    <x v="0"/>
    <x v="276"/>
    <x v="0"/>
    <n v="15"/>
    <x v="1"/>
    <s v="Yes"/>
    <n v="30"/>
    <s v="Yes"/>
    <x v="0"/>
    <x v="3"/>
    <n v="62"/>
  </r>
  <r>
    <x v="278"/>
    <s v="Oscar Martins"/>
    <x v="2"/>
    <x v="277"/>
    <x v="1"/>
    <n v="10"/>
    <x v="0"/>
    <s v="No"/>
    <s v="-"/>
    <s v="Yes"/>
    <x v="0"/>
    <x v="2"/>
    <n v="20"/>
  </r>
  <r>
    <x v="279"/>
    <s v="Patrícia Oliveira"/>
    <x v="1"/>
    <x v="278"/>
    <x v="0"/>
    <n v="5"/>
    <x v="2"/>
    <s v="No"/>
    <s v="-"/>
    <s v="No"/>
    <x v="1"/>
    <x v="1"/>
    <n v="5"/>
  </r>
  <r>
    <x v="280"/>
    <s v="Quentin Nogueira"/>
    <x v="0"/>
    <x v="279"/>
    <x v="1"/>
    <n v="15"/>
    <x v="0"/>
    <s v="Yes"/>
    <n v="30"/>
    <s v="Yes"/>
    <x v="0"/>
    <x v="6"/>
    <n v="50"/>
  </r>
  <r>
    <x v="281"/>
    <s v="Raquel Silva"/>
    <x v="2"/>
    <x v="280"/>
    <x v="0"/>
    <n v="10"/>
    <x v="1"/>
    <s v="No"/>
    <s v="-"/>
    <s v="Yes"/>
    <x v="0"/>
    <x v="6"/>
    <n v="15"/>
  </r>
  <r>
    <x v="282"/>
    <s v="Sandro Gomes"/>
    <x v="1"/>
    <x v="281"/>
    <x v="1"/>
    <n v="5"/>
    <x v="0"/>
    <s v="No"/>
    <s v="-"/>
    <s v="No"/>
    <x v="1"/>
    <x v="4"/>
    <n v="4"/>
  </r>
  <r>
    <x v="283"/>
    <s v="Tânia Machado"/>
    <x v="0"/>
    <x v="282"/>
    <x v="0"/>
    <n v="15"/>
    <x v="2"/>
    <s v="Yes"/>
    <n v="30"/>
    <s v="Yes"/>
    <x v="0"/>
    <x v="10"/>
    <n v="58"/>
  </r>
  <r>
    <x v="284"/>
    <s v="Ursula Silva"/>
    <x v="2"/>
    <x v="283"/>
    <x v="1"/>
    <n v="10"/>
    <x v="0"/>
    <s v="No"/>
    <s v="-"/>
    <s v="Yes"/>
    <x v="0"/>
    <x v="2"/>
    <n v="20"/>
  </r>
  <r>
    <x v="285"/>
    <s v="Vanessa Moraes"/>
    <x v="1"/>
    <x v="284"/>
    <x v="0"/>
    <n v="5"/>
    <x v="1"/>
    <s v="No"/>
    <s v="-"/>
    <s v="No"/>
    <x v="1"/>
    <x v="1"/>
    <n v="5"/>
  </r>
  <r>
    <x v="286"/>
    <s v="William Carvalho"/>
    <x v="0"/>
    <x v="285"/>
    <x v="1"/>
    <n v="15"/>
    <x v="0"/>
    <s v="Yes"/>
    <n v="30"/>
    <s v="Yes"/>
    <x v="0"/>
    <x v="7"/>
    <n v="45"/>
  </r>
  <r>
    <x v="287"/>
    <s v="Xavier Reis"/>
    <x v="2"/>
    <x v="286"/>
    <x v="0"/>
    <n v="10"/>
    <x v="2"/>
    <s v="No"/>
    <s v="-"/>
    <s v="Yes"/>
    <x v="0"/>
    <x v="9"/>
    <n v="18"/>
  </r>
  <r>
    <x v="288"/>
    <s v="Yasmin Rocha"/>
    <x v="1"/>
    <x v="287"/>
    <x v="1"/>
    <n v="5"/>
    <x v="0"/>
    <s v="No"/>
    <s v="-"/>
    <s v="No"/>
    <x v="1"/>
    <x v="5"/>
    <n v="3"/>
  </r>
  <r>
    <x v="289"/>
    <s v="Zacarias Duarte"/>
    <x v="0"/>
    <x v="288"/>
    <x v="0"/>
    <n v="15"/>
    <x v="1"/>
    <s v="Yes"/>
    <n v="30"/>
    <s v="Yes"/>
    <x v="0"/>
    <x v="0"/>
    <n v="60"/>
  </r>
  <r>
    <x v="290"/>
    <s v="Amanda Freitas"/>
    <x v="2"/>
    <x v="289"/>
    <x v="1"/>
    <n v="10"/>
    <x v="0"/>
    <s v="No"/>
    <s v="-"/>
    <s v="Yes"/>
    <x v="0"/>
    <x v="2"/>
    <n v="20"/>
  </r>
  <r>
    <x v="291"/>
    <s v="Bruno Almeida"/>
    <x v="1"/>
    <x v="290"/>
    <x v="0"/>
    <n v="5"/>
    <x v="2"/>
    <s v="No"/>
    <s v="-"/>
    <s v="No"/>
    <x v="1"/>
    <x v="1"/>
    <n v="5"/>
  </r>
  <r>
    <x v="292"/>
    <s v="Carla Siqueira"/>
    <x v="0"/>
    <x v="291"/>
    <x v="1"/>
    <n v="15"/>
    <x v="0"/>
    <s v="Yes"/>
    <n v="30"/>
    <s v="Yes"/>
    <x v="0"/>
    <x v="3"/>
    <n v="62"/>
  </r>
  <r>
    <x v="293"/>
    <s v="Diogo Ramos"/>
    <x v="2"/>
    <x v="292"/>
    <x v="0"/>
    <n v="10"/>
    <x v="1"/>
    <s v="No"/>
    <s v="-"/>
    <s v="Yes"/>
    <x v="0"/>
    <x v="6"/>
    <n v="15"/>
  </r>
  <r>
    <x v="294"/>
    <s v="Elisa Magalhães"/>
    <x v="1"/>
    <x v="293"/>
    <x v="1"/>
    <n v="5"/>
    <x v="0"/>
    <s v="No"/>
    <s v="-"/>
    <s v="No"/>
    <x v="1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1AD95-D17C-45DE-BB49-3719352111A1}" name="Tabela dinâ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A3:B6" firstHeaderRow="1" firstDataRow="1" firstDataCol="1"/>
  <pivotFields count="14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>
      <items count="3">
        <item x="1"/>
        <item x="0"/>
        <item t="default"/>
      </items>
    </pivotField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3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4A54D00-DF63-4516-8AE6-CE3C4D485B94}" sourceName="Subscription Type">
  <pivotTables>
    <pivotTable tabId="5" name="Tabela dinâmica1"/>
  </pivotTables>
  <data>
    <tabular pivotCacheId="126471920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0B3772F-9F41-4D96-9F2F-07DBDC846932}" cache="SegmentaçãodeDados_Subscription_Type" caption="Subscription Type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5"/>
    <tableColumn id="2" xr3:uid="{53DD39D0-2220-4121-9E9D-4EAA7E151C0F}" name="Name" dataDxfId="34"/>
    <tableColumn id="3" xr3:uid="{4F5FF271-4C57-4BE0-8F2C-F82C8551625C}" name="Plan" dataDxfId="33"/>
    <tableColumn id="4" xr3:uid="{8C17EB93-79B9-4E55-B8F7-BEB82F8253E9}" name="Start Date" dataDxfId="32"/>
    <tableColumn id="5" xr3:uid="{48CEDF9B-1689-482A-A828-5CCE7713264A}" name="Auto Renewal" dataDxfId="31"/>
    <tableColumn id="6" xr3:uid="{78B82374-9AA7-4E38-AE4F-78CDE6C83720}" name="Subscription Price" dataDxfId="30" dataCellStyle="Moeda"/>
    <tableColumn id="7" xr3:uid="{F2433F68-AF33-49D0-B1FB-19A396074EDE}" name="Subscription Type" dataDxfId="29"/>
    <tableColumn id="8" xr3:uid="{FD4D9C95-F6E5-4933-9068-A71FF7DF9343}" name="EA Play Season Pass" dataDxfId="28"/>
    <tableColumn id="13" xr3:uid="{978DD0D2-834E-4CE4-A39B-30976086932F}" name="EA Play Season Pass_x000a_Price" dataDxfId="27" dataCellStyle="Moeda"/>
    <tableColumn id="9" xr3:uid="{6E29F111-C395-4580-9DAD-3407D9E8B1A4}" name="Minecraft Season Pass" dataDxfId="26"/>
    <tableColumn id="10" xr3:uid="{EF544EAA-7F25-4FD5-A10E-8E62804DB9E3}" name="Minecraft Season Pass Price" dataDxfId="25" dataCellStyle="Moeda"/>
    <tableColumn id="11" xr3:uid="{7F6EB64A-1F07-4E48-9F0F-AC7D9DCD26F8}" name="Coupon Value" dataDxfId="24" dataCellStyle="Moeda"/>
    <tableColumn id="12" xr3:uid="{2B04ABC8-DE6F-426E-ADC0-D8AFC68CA58E}" name="Total Value" dataDxfId="2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D62A-1B87-4E48-A587-4F74F9C1D1D8}">
  <sheetPr>
    <tabColor theme="3" tint="0.749992370372631"/>
  </sheetPr>
  <dimension ref="A3:B6"/>
  <sheetViews>
    <sheetView workbookViewId="0">
      <selection activeCell="O27" sqref="O27"/>
    </sheetView>
  </sheetViews>
  <sheetFormatPr defaultRowHeight="14.25"/>
  <cols>
    <col min="1" max="1" width="18" bestFit="1" customWidth="1"/>
    <col min="2" max="2" width="19.125" bestFit="1" customWidth="1"/>
  </cols>
  <sheetData>
    <row r="3" spans="1:2">
      <c r="A3" s="17" t="s">
        <v>315</v>
      </c>
      <c r="B3" s="19" t="s">
        <v>314</v>
      </c>
    </row>
    <row r="4" spans="1:2">
      <c r="A4" s="18" t="s">
        <v>23</v>
      </c>
      <c r="B4" s="19">
        <v>3847</v>
      </c>
    </row>
    <row r="5" spans="1:2">
      <c r="A5" s="18" t="s">
        <v>19</v>
      </c>
      <c r="B5" s="19">
        <v>3786</v>
      </c>
    </row>
    <row r="6" spans="1:2">
      <c r="A6" s="18" t="s">
        <v>316</v>
      </c>
      <c r="B6" s="19">
        <v>7633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Normal="100" workbookViewId="0">
      <selection activeCell="I1" sqref="I1:I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D7:D8"/>
  <sheetViews>
    <sheetView showGridLines="0" workbookViewId="0">
      <selection activeCell="D7" sqref="D7:D8"/>
    </sheetView>
  </sheetViews>
  <sheetFormatPr defaultRowHeight="14.25"/>
  <cols>
    <col min="3" max="3" width="18.37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7" spans="4:4">
      <c r="D7" s="21">
        <f>SUM(B̳ases!I:I)</f>
        <v>2940</v>
      </c>
    </row>
    <row r="8" spans="4:4">
      <c r="D8" s="21">
        <f>SUM(B̳ases!K:K)</f>
        <v>3880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D46"/>
  <sheetViews>
    <sheetView showGridLines="0" tabSelected="1" zoomScale="80" zoomScaleNormal="80" workbookViewId="0">
      <selection activeCell="W15" sqref="W15"/>
    </sheetView>
  </sheetViews>
  <sheetFormatPr defaultColWidth="0" defaultRowHeight="14.25" zeroHeight="1"/>
  <cols>
    <col min="1" max="1" width="20" style="12" customWidth="1"/>
    <col min="2" max="2" width="3.625" style="20" customWidth="1"/>
    <col min="3" max="11" width="9" style="20" customWidth="1"/>
    <col min="12" max="12" width="6.625" style="20" customWidth="1"/>
    <col min="13" max="27" width="9" style="20" customWidth="1"/>
    <col min="28" max="30" width="0" style="20" hidden="1"/>
    <col min="31" max="16384" width="9" hidden="1"/>
  </cols>
  <sheetData>
    <row r="1" spans="2:30" ht="15" thickBot="1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2:30" ht="39" customHeight="1" thickTop="1" thickBot="1">
      <c r="B2"/>
      <c r="C2"/>
      <c r="D2" s="13" t="s">
        <v>313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15"/>
      <c r="V2" s="15"/>
      <c r="W2" s="15"/>
      <c r="X2" s="15"/>
      <c r="Y2" s="15"/>
      <c r="Z2" s="16"/>
      <c r="AA2"/>
      <c r="AB2"/>
      <c r="AC2"/>
      <c r="AD2"/>
    </row>
    <row r="3" spans="2:30" ht="8.25" customHeight="1" thickTop="1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2:30" ht="7.5" customHeight="1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2:30" ht="10.5" customHeight="1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2:30" ht="9.75" customHeight="1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2:30" ht="33" customHeight="1"/>
    <row r="8" spans="2:30"/>
    <row r="9" spans="2:30"/>
    <row r="10" spans="2:30"/>
    <row r="11" spans="2:30"/>
    <row r="12" spans="2:30"/>
    <row r="13" spans="2:30"/>
    <row r="14" spans="2:30"/>
    <row r="15" spans="2:30"/>
    <row r="16" spans="2:3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DINAMICA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Ezequiel Moreira</cp:lastModifiedBy>
  <dcterms:created xsi:type="dcterms:W3CDTF">2024-12-19T13:13:10Z</dcterms:created>
  <dcterms:modified xsi:type="dcterms:W3CDTF">2026-05-20T03:04:35Z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